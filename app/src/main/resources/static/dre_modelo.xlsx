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sse\Downloads\"/>
    </mc:Choice>
  </mc:AlternateContent>
  <xr:revisionPtr revIDLastSave="0" documentId="13_ncr:1_{7F13E4B9-CBD5-4A3D-BDF9-DA1DABE339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 de Instruções" sheetId="6" r:id="rId1"/>
    <sheet name="Resultado Clinica" sheetId="4" r:id="rId2"/>
    <sheet name="Resultado Profissional" sheetId="5" r:id="rId3"/>
    <sheet name="Atendimentos à Receber" sheetId="1" r:id="rId4"/>
    <sheet name="Outras Contas à Receber" sheetId="2" r:id="rId5"/>
    <sheet name="Contas à Pagar" sheetId="3" r:id="rId6"/>
  </sheets>
  <definedNames>
    <definedName name="_xlnm._FilterDatabase" localSheetId="3" hidden="1">'Atendimentos à Receber'!$A$2:$V$3001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" l="1"/>
  <c r="H3" i="3"/>
  <c r="H2" i="3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O21" i="5" s="1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V2" i="1"/>
  <c r="O24" i="4" s="1"/>
  <c r="V10" i="1"/>
  <c r="V9" i="1"/>
  <c r="V8" i="1"/>
  <c r="V7" i="1"/>
  <c r="V6" i="1"/>
  <c r="V5" i="1"/>
  <c r="V4" i="1"/>
  <c r="V3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75" i="1"/>
  <c r="E8" i="5" l="1"/>
  <c r="K23" i="4"/>
  <c r="D9" i="4"/>
  <c r="H9" i="4"/>
  <c r="L9" i="4"/>
  <c r="D24" i="4"/>
  <c r="H24" i="4"/>
  <c r="L24" i="4"/>
  <c r="E9" i="4"/>
  <c r="I9" i="4"/>
  <c r="M9" i="4"/>
  <c r="E24" i="4"/>
  <c r="I24" i="4"/>
  <c r="M24" i="4"/>
  <c r="F9" i="4"/>
  <c r="J9" i="4"/>
  <c r="N9" i="4"/>
  <c r="F24" i="4"/>
  <c r="J24" i="4"/>
  <c r="N24" i="4"/>
  <c r="G9" i="4"/>
  <c r="K9" i="4"/>
  <c r="O9" i="4"/>
  <c r="G24" i="4"/>
  <c r="K24" i="4"/>
  <c r="O20" i="5"/>
  <c r="F21" i="4"/>
  <c r="N21" i="4"/>
  <c r="F21" i="5"/>
  <c r="D6" i="4"/>
  <c r="L6" i="4"/>
  <c r="H21" i="4"/>
  <c r="D6" i="5"/>
  <c r="L6" i="5"/>
  <c r="H21" i="5"/>
  <c r="E6" i="4"/>
  <c r="M6" i="4"/>
  <c r="I21" i="4"/>
  <c r="E6" i="5"/>
  <c r="M6" i="5"/>
  <c r="I21" i="5"/>
  <c r="F6" i="4"/>
  <c r="N6" i="4"/>
  <c r="J21" i="4"/>
  <c r="F6" i="5"/>
  <c r="N6" i="5"/>
  <c r="J21" i="5"/>
  <c r="G6" i="4"/>
  <c r="O6" i="4"/>
  <c r="K21" i="4"/>
  <c r="G6" i="5"/>
  <c r="O6" i="5"/>
  <c r="K21" i="5"/>
  <c r="H6" i="4"/>
  <c r="D21" i="4"/>
  <c r="L21" i="4"/>
  <c r="H6" i="5"/>
  <c r="D21" i="5"/>
  <c r="L21" i="5"/>
  <c r="I6" i="4"/>
  <c r="E21" i="4"/>
  <c r="M21" i="4"/>
  <c r="I6" i="5"/>
  <c r="E21" i="5"/>
  <c r="M21" i="5"/>
  <c r="N21" i="5"/>
  <c r="J6" i="4"/>
  <c r="J6" i="5"/>
  <c r="K6" i="4"/>
  <c r="G21" i="4"/>
  <c r="O21" i="4"/>
  <c r="K6" i="5"/>
  <c r="G21" i="5"/>
  <c r="D5" i="4"/>
  <c r="L5" i="4"/>
  <c r="H20" i="4"/>
  <c r="D5" i="5"/>
  <c r="L5" i="5"/>
  <c r="H20" i="5"/>
  <c r="E5" i="4"/>
  <c r="M5" i="4"/>
  <c r="I20" i="4"/>
  <c r="E5" i="5"/>
  <c r="M5" i="5"/>
  <c r="I20" i="5"/>
  <c r="F5" i="4"/>
  <c r="N5" i="4"/>
  <c r="J20" i="4"/>
  <c r="F5" i="5"/>
  <c r="N5" i="5"/>
  <c r="J20" i="5"/>
  <c r="G5" i="4"/>
  <c r="O5" i="4"/>
  <c r="K20" i="4"/>
  <c r="G5" i="5"/>
  <c r="O5" i="5"/>
  <c r="K20" i="5"/>
  <c r="H5" i="4"/>
  <c r="D20" i="4"/>
  <c r="L20" i="4"/>
  <c r="H5" i="5"/>
  <c r="D20" i="5"/>
  <c r="L20" i="5"/>
  <c r="I5" i="4"/>
  <c r="E20" i="4"/>
  <c r="M20" i="4"/>
  <c r="I5" i="5"/>
  <c r="E20" i="5"/>
  <c r="M20" i="5"/>
  <c r="J5" i="4"/>
  <c r="F20" i="4"/>
  <c r="N20" i="4"/>
  <c r="J5" i="5"/>
  <c r="F20" i="5"/>
  <c r="N20" i="5"/>
  <c r="K5" i="4"/>
  <c r="G20" i="4"/>
  <c r="O20" i="4"/>
  <c r="K5" i="5"/>
  <c r="G20" i="5"/>
  <c r="E24" i="5"/>
  <c r="O24" i="5"/>
  <c r="O9" i="5"/>
  <c r="I24" i="5"/>
  <c r="M24" i="5"/>
  <c r="D9" i="5"/>
  <c r="M9" i="5"/>
  <c r="D24" i="5"/>
  <c r="K24" i="5"/>
  <c r="F9" i="5"/>
  <c r="H9" i="5"/>
  <c r="J9" i="5"/>
  <c r="L9" i="5"/>
  <c r="N9" i="5"/>
  <c r="E9" i="5"/>
  <c r="G9" i="5"/>
  <c r="K9" i="5"/>
  <c r="G24" i="5"/>
  <c r="I9" i="5"/>
  <c r="F24" i="5"/>
  <c r="H24" i="5"/>
  <c r="J24" i="5"/>
  <c r="L24" i="5"/>
  <c r="N24" i="5"/>
  <c r="F23" i="4"/>
  <c r="J23" i="4"/>
  <c r="N23" i="4"/>
  <c r="D23" i="5"/>
  <c r="I23" i="5"/>
  <c r="M23" i="5"/>
  <c r="E23" i="4"/>
  <c r="G8" i="4"/>
  <c r="K8" i="4"/>
  <c r="K7" i="4" s="1"/>
  <c r="O8" i="4"/>
  <c r="O7" i="4" s="1"/>
  <c r="G8" i="5"/>
  <c r="K8" i="5"/>
  <c r="O8" i="5"/>
  <c r="G23" i="4"/>
  <c r="O23" i="4"/>
  <c r="F8" i="5"/>
  <c r="H23" i="5"/>
  <c r="L23" i="5"/>
  <c r="E23" i="5"/>
  <c r="H8" i="4"/>
  <c r="L8" i="4"/>
  <c r="F23" i="5"/>
  <c r="J8" i="5"/>
  <c r="N8" i="5"/>
  <c r="H23" i="4"/>
  <c r="L23" i="4"/>
  <c r="G23" i="5"/>
  <c r="K23" i="5"/>
  <c r="O23" i="5"/>
  <c r="D8" i="4"/>
  <c r="I8" i="4"/>
  <c r="M8" i="4"/>
  <c r="D8" i="5"/>
  <c r="I8" i="5"/>
  <c r="M8" i="5"/>
  <c r="E8" i="4"/>
  <c r="D23" i="4"/>
  <c r="I23" i="4"/>
  <c r="M23" i="4"/>
  <c r="J23" i="5"/>
  <c r="N23" i="5"/>
  <c r="F8" i="4"/>
  <c r="J8" i="4"/>
  <c r="N8" i="4"/>
  <c r="H8" i="5"/>
  <c r="L8" i="5"/>
  <c r="K19" i="4"/>
  <c r="H19" i="4"/>
  <c r="L4" i="5"/>
  <c r="N4" i="4"/>
  <c r="F4" i="4"/>
  <c r="J19" i="4"/>
  <c r="F22" i="4"/>
  <c r="N22" i="4"/>
  <c r="E7" i="5" l="1"/>
  <c r="E22" i="5"/>
  <c r="G4" i="5"/>
  <c r="M22" i="5"/>
  <c r="J4" i="5"/>
  <c r="L22" i="5"/>
  <c r="K7" i="5"/>
  <c r="G7" i="5"/>
  <c r="G10" i="5" s="1"/>
  <c r="F7" i="5"/>
  <c r="O22" i="4"/>
  <c r="I22" i="5"/>
  <c r="O7" i="5"/>
  <c r="G19" i="4"/>
  <c r="L7" i="5"/>
  <c r="L10" i="5" s="1"/>
  <c r="L4" i="4"/>
  <c r="M7" i="5"/>
  <c r="G22" i="5"/>
  <c r="G25" i="5" s="1"/>
  <c r="N7" i="5"/>
  <c r="M4" i="5"/>
  <c r="J22" i="5"/>
  <c r="J19" i="5"/>
  <c r="J7" i="5"/>
  <c r="J10" i="5" s="1"/>
  <c r="N4" i="5"/>
  <c r="H4" i="5"/>
  <c r="O22" i="5"/>
  <c r="E22" i="4"/>
  <c r="K22" i="5"/>
  <c r="G4" i="4"/>
  <c r="H19" i="5"/>
  <c r="E4" i="5"/>
  <c r="E10" i="5" s="1"/>
  <c r="H7" i="5"/>
  <c r="G19" i="5"/>
  <c r="K19" i="5"/>
  <c r="D4" i="4"/>
  <c r="I7" i="4"/>
  <c r="F22" i="5"/>
  <c r="F19" i="5"/>
  <c r="H7" i="4"/>
  <c r="M4" i="4"/>
  <c r="K4" i="4"/>
  <c r="K10" i="4" s="1"/>
  <c r="I7" i="5"/>
  <c r="N22" i="5"/>
  <c r="F7" i="4"/>
  <c r="F10" i="4" s="1"/>
  <c r="N7" i="4"/>
  <c r="N10" i="4" s="1"/>
  <c r="H22" i="4"/>
  <c r="H25" i="4" s="1"/>
  <c r="I22" i="4"/>
  <c r="O19" i="4"/>
  <c r="N19" i="4"/>
  <c r="N25" i="4" s="1"/>
  <c r="I19" i="4"/>
  <c r="J4" i="4"/>
  <c r="E19" i="5"/>
  <c r="E25" i="5" s="1"/>
  <c r="O19" i="5"/>
  <c r="M19" i="5"/>
  <c r="M25" i="5" s="1"/>
  <c r="C8" i="5"/>
  <c r="G7" i="4"/>
  <c r="N19" i="5"/>
  <c r="C23" i="5"/>
  <c r="C8" i="4"/>
  <c r="L19" i="5"/>
  <c r="E19" i="4"/>
  <c r="I19" i="5"/>
  <c r="C23" i="4"/>
  <c r="D22" i="5"/>
  <c r="G22" i="4"/>
  <c r="G25" i="4" s="1"/>
  <c r="D22" i="4"/>
  <c r="L7" i="4"/>
  <c r="C21" i="4"/>
  <c r="I4" i="4"/>
  <c r="E4" i="4"/>
  <c r="D4" i="5"/>
  <c r="K4" i="5"/>
  <c r="F4" i="5"/>
  <c r="C21" i="5"/>
  <c r="C6" i="4"/>
  <c r="M19" i="4"/>
  <c r="I4" i="5"/>
  <c r="O4" i="5"/>
  <c r="D19" i="5"/>
  <c r="C6" i="5"/>
  <c r="O4" i="4"/>
  <c r="O10" i="4" s="1"/>
  <c r="C5" i="5"/>
  <c r="C20" i="5"/>
  <c r="C9" i="5"/>
  <c r="D7" i="5"/>
  <c r="C24" i="5"/>
  <c r="H22" i="5"/>
  <c r="J22" i="4"/>
  <c r="J25" i="4" s="1"/>
  <c r="M7" i="4"/>
  <c r="E7" i="4"/>
  <c r="L22" i="4"/>
  <c r="M22" i="4"/>
  <c r="K22" i="4"/>
  <c r="K25" i="4" s="1"/>
  <c r="D7" i="4"/>
  <c r="J7" i="4"/>
  <c r="H4" i="4"/>
  <c r="F19" i="4"/>
  <c r="F25" i="4" s="1"/>
  <c r="L19" i="4"/>
  <c r="C24" i="4"/>
  <c r="C9" i="4"/>
  <c r="C20" i="4"/>
  <c r="C5" i="4"/>
  <c r="D19" i="4"/>
  <c r="F10" i="5" l="1"/>
  <c r="L25" i="5"/>
  <c r="K10" i="5"/>
  <c r="I25" i="5"/>
  <c r="O25" i="4"/>
  <c r="O10" i="5"/>
  <c r="M10" i="5"/>
  <c r="L10" i="4"/>
  <c r="H25" i="5"/>
  <c r="F25" i="5"/>
  <c r="K25" i="5"/>
  <c r="N10" i="5"/>
  <c r="J25" i="5"/>
  <c r="H10" i="5"/>
  <c r="I10" i="5"/>
  <c r="E25" i="4"/>
  <c r="O25" i="5"/>
  <c r="D10" i="4"/>
  <c r="D12" i="4" s="1"/>
  <c r="G10" i="4"/>
  <c r="I10" i="4"/>
  <c r="M10" i="4"/>
  <c r="H10" i="4"/>
  <c r="N25" i="5"/>
  <c r="J10" i="4"/>
  <c r="I25" i="4"/>
  <c r="D25" i="5"/>
  <c r="M25" i="4"/>
  <c r="C22" i="4"/>
  <c r="E10" i="4"/>
  <c r="C19" i="5"/>
  <c r="C4" i="5"/>
  <c r="D10" i="5"/>
  <c r="C7" i="5"/>
  <c r="C22" i="5"/>
  <c r="C4" i="4"/>
  <c r="C7" i="4"/>
  <c r="L25" i="4"/>
  <c r="D25" i="4"/>
  <c r="C19" i="4"/>
  <c r="C25" i="5" l="1"/>
  <c r="C10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C10" i="5"/>
  <c r="C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36CDF762-6456-C041-B441-F9F778AAD60A}">
      <text>
        <r>
          <rPr>
            <b/>
            <sz val="10"/>
            <color rgb="FF000000"/>
            <rFont val="Tahoma"/>
            <family val="2"/>
          </rPr>
          <t>Digite o Nome do Profissional igual ao cadastrado no Agendart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<sst xmlns="http://schemas.openxmlformats.org/spreadsheetml/2006/main" count="90" uniqueCount="57">
  <si>
    <t>Paciente</t>
  </si>
  <si>
    <t>Telefone</t>
  </si>
  <si>
    <t>Data</t>
  </si>
  <si>
    <t>Profissional</t>
  </si>
  <si>
    <t>Sala</t>
  </si>
  <si>
    <t>Serviço</t>
  </si>
  <si>
    <t>Convênio</t>
  </si>
  <si>
    <t>Recorrência</t>
  </si>
  <si>
    <t>Status</t>
  </si>
  <si>
    <t>Pagamento</t>
  </si>
  <si>
    <t>Valor</t>
  </si>
  <si>
    <t>Comissão Paga</t>
  </si>
  <si>
    <t>Total de Comissão</t>
  </si>
  <si>
    <t>Nome</t>
  </si>
  <si>
    <t>Valor Pago</t>
  </si>
  <si>
    <t>Faturamento</t>
  </si>
  <si>
    <t>Recebimento Pacientes</t>
  </si>
  <si>
    <t>Outros Recebimentos</t>
  </si>
  <si>
    <t>Custos</t>
  </si>
  <si>
    <t>Lucro Líquido</t>
  </si>
  <si>
    <t>Acumulado no Ano</t>
  </si>
  <si>
    <t>Data Agendamento Valor</t>
  </si>
  <si>
    <t>Data Recebimento</t>
  </si>
  <si>
    <t>Data Pagamento</t>
  </si>
  <si>
    <t>Fluxo De Caixa</t>
  </si>
  <si>
    <t>Caixa Inicial</t>
  </si>
  <si>
    <t>Resultados da Clinica</t>
  </si>
  <si>
    <t>Resultados em Aberto</t>
  </si>
  <si>
    <t>Comissões</t>
  </si>
  <si>
    <t>Total Custos</t>
  </si>
  <si>
    <t>Faturamento em Aberto</t>
  </si>
  <si>
    <t>Custos em Aberto</t>
  </si>
  <si>
    <t>Lucro em Aberto</t>
  </si>
  <si>
    <t>Resultados do Profissional</t>
  </si>
  <si>
    <t>Resultados em Aberto do Profissional</t>
  </si>
  <si>
    <t xml:space="preserve">O Objetivo desse documento é fornecer à você uma visão analítica do resultado da sua Clínica. Oferecento uma visão de Faturamento, Custos e Resultas que você vem tendo ao longo do Ano. </t>
  </si>
  <si>
    <t>Para que a planilha funciona de forma adequada, por favor seguir o passo a passo descrito abaixo:</t>
  </si>
  <si>
    <t>Primeira Parte concluída! Agora a planilha já esta registrando todos os faturamentos da Clínica! Agora A segunda parte é registrar os Custos que a Clínica teve.</t>
  </si>
  <si>
    <t>6-) Clique na página de Financeiro &gt; À Pagar &gt; Filtrar. Nesse Filtro, alterar a data para 01/01/2024 até o dia de hoje e em seguida clique em "Aplicar" conforme Imagem abaixo</t>
  </si>
  <si>
    <t>7-) Agora vamos precisar Exportar o Arquivo de Contas A Pagar. Ele fica na mesma página do Agendart que você está agora, só que bem no final dela. Desça toda a página e você vai encontar outro botão "Exportar Dados". Assim como anteriormente, selecione a opção "Exportar Excel"</t>
  </si>
  <si>
    <t>9-) Agora, se quiser realizar uma análise de algum profissional específico da Clínica, é possível fazer na Aba "Resultado Profissional" Basta escrever o nome do profissional igual ao cadastrado no Agendart na Célula B3.</t>
  </si>
  <si>
    <t>CPF</t>
  </si>
  <si>
    <t>Criado Por</t>
  </si>
  <si>
    <t>Etiqueta</t>
  </si>
  <si>
    <t>Observação de Pagamento</t>
  </si>
  <si>
    <t>Método de Pagamento</t>
  </si>
  <si>
    <t>Valor Total</t>
  </si>
  <si>
    <t>Parcela</t>
  </si>
  <si>
    <t>Data de Nascimento</t>
  </si>
  <si>
    <t>Data de Pagamento</t>
  </si>
  <si>
    <t>1-) Depois de realizar o Login no Agendart, clique na página de Financeiro &gt; À Receber &gt; Filtrar. Nesse Filtro, alterar a data para 01/01/2025 até o dia de hoje e em seguida clique em "Aplicar" conforme Imagem abaixo</t>
  </si>
  <si>
    <t>2-)  O próximo passo é exportar o arquivo para Excel. Para isso desça a tela até aparecer o botão "Exportar" que vai estar localizado na parte debaixo da tabela. Clique no botão e escolha a opção "Exportar Excel"</t>
  </si>
  <si>
    <t>3-) Agora você deve abrir o arquivo que foi exportado para seu computador. Com ele aberto, selecione as colunas de A:A até U:U e copie e cole neste aquivo na célula A1 na aba "Atendimentos à Receber"</t>
  </si>
  <si>
    <t>4-) Agora vamos precisar Exportar o Arquivo de Mensalidades. Ele fica na na terceira aba da página de Financeiro. Também selecione no filtro, as datas do dia 01/01/2025 até hoje. E em seguida realize a exportação de dados para o excel no mesmo padrão da etapa anterior</t>
  </si>
  <si>
    <t>5-) Agora vamos abrir esse novo arquivo que foi exportado para o seu computador. Com ele aberto, selecione as colunas A:A até H:H e cole na célula A1 na aba "Outras Contas à Receber"</t>
  </si>
  <si>
    <t>8-) Agora vamos abrir esse novo arquivo que foi exportado para o seu computador. Com ele aberto, selecione as colunas A:A até G:G e cole na célula A1 na aba "Contas à Pagar"</t>
  </si>
  <si>
    <t>Bem vindo ao Relatório de Resultados DEV2B!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</si>
</sst>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11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22"/>
      <color theme="3" tint="-0.249977111117893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6"/>
      <color rgb="FF000000"/>
      <name val="Calibri"/>
      <family val="2"/>
    </font>
    <font>
      <sz val="20"/>
      <color rgb="FF000000"/>
      <name val="Calibri"/>
      <family val="2"/>
    </font>
    <font>
      <sz val="3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0" fontId="0" fillId="2" borderId="0" xfId="0" applyFill="1"/>
    <xf numFmtId="0" fontId="2" fillId="2" borderId="0" xfId="0" applyFont="1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" fontId="4" fillId="5" borderId="0" xfId="0" applyNumberFormat="1" applyFont="1" applyFill="1" applyAlignment="1">
      <alignment horizontal="center" vertical="center"/>
    </xf>
    <xf numFmtId="164" fontId="4" fillId="5" borderId="0" xfId="1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1" applyNumberFormat="1" applyFon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0" xfId="1" applyNumberFormat="1" applyFont="1" applyFill="1" applyAlignment="1">
      <alignment horizontal="center" vertical="center"/>
    </xf>
    <xf numFmtId="164" fontId="1" fillId="4" borderId="0" xfId="1" quotePrefix="1" applyNumberFormat="1" applyFont="1" applyFill="1" applyAlignment="1">
      <alignment horizontal="center" vertical="center"/>
    </xf>
    <xf numFmtId="164" fontId="1" fillId="3" borderId="0" xfId="1" quotePrefix="1" applyNumberFormat="1" applyFont="1" applyFill="1" applyAlignment="1">
      <alignment horizontal="center" vertical="center"/>
    </xf>
    <xf numFmtId="164" fontId="2" fillId="6" borderId="0" xfId="1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7" borderId="0" xfId="0" applyFill="1"/>
    <xf numFmtId="0" fontId="8" fillId="0" borderId="0" xfId="0" applyFont="1"/>
    <xf numFmtId="0" fontId="8" fillId="0" borderId="2" xfId="0" applyFont="1" applyBorder="1"/>
    <xf numFmtId="0" fontId="8" fillId="0" borderId="5" xfId="0" applyFont="1" applyBorder="1"/>
    <xf numFmtId="0" fontId="8" fillId="0" borderId="10" xfId="0" applyFont="1" applyBorder="1"/>
    <xf numFmtId="0" fontId="0" fillId="8" borderId="0" xfId="0" applyFill="1"/>
    <xf numFmtId="0" fontId="8" fillId="8" borderId="0" xfId="0" applyFont="1" applyFill="1"/>
    <xf numFmtId="0" fontId="8" fillId="8" borderId="3" xfId="0" applyFont="1" applyFill="1" applyBorder="1"/>
    <xf numFmtId="0" fontId="8" fillId="8" borderId="4" xfId="0" applyFont="1" applyFill="1" applyBorder="1"/>
    <xf numFmtId="0" fontId="8" fillId="8" borderId="5" xfId="0" applyFont="1" applyFill="1" applyBorder="1"/>
    <xf numFmtId="0" fontId="8" fillId="8" borderId="7" xfId="0" applyFont="1" applyFill="1" applyBorder="1"/>
    <xf numFmtId="0" fontId="8" fillId="8" borderId="8" xfId="0" applyFont="1" applyFill="1" applyBorder="1"/>
    <xf numFmtId="14" fontId="0" fillId="0" borderId="0" xfId="0" applyNumberFormat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Resultados Clínica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Faturamento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'Resultado Clinica'!$D$3:$O$3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'Resultado Clinica'!$D$4:$O$4</c:f>
              <c:numCache>
                <c:formatCode>#,##0.00_ ;[Red]\-#,##0.00\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0-5246-B4A3-7572B862DAB4}"/>
            </c:ext>
          </c:extLst>
        </c:ser>
        <c:ser>
          <c:idx val="1"/>
          <c:order val="1"/>
          <c:tx>
            <c:v>Custos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'Resultado Clinica'!$D$3:$O$3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'Resultado Clinica'!$D$7:$O$7</c:f>
              <c:numCache>
                <c:formatCode>#,##0.00_ ;[Red]\-#,##0.00\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0-5246-B4A3-7572B862D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581023"/>
        <c:axId val="502798336"/>
      </c:barChart>
      <c:lineChart>
        <c:grouping val="standard"/>
        <c:varyColors val="0"/>
        <c:ser>
          <c:idx val="2"/>
          <c:order val="2"/>
          <c:tx>
            <c:v>Lucro Líquido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'Resultado Clinica'!$D$3:$O$3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'Resultado Clinica'!$D$10:$O$10</c:f>
              <c:numCache>
                <c:formatCode>#,##0.00_ ;[Red]\-#,##0.00\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90-5246-B4A3-7572B862D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81023"/>
        <c:axId val="502798336"/>
      </c:lineChart>
      <c:dateAx>
        <c:axId val="80581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2798336"/>
        <c:crosses val="autoZero"/>
        <c:auto val="1"/>
        <c:lblOffset val="100"/>
        <c:baseTimeUnit val="months"/>
      </c:dateAx>
      <c:valAx>
        <c:axId val="50279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58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81644</xdr:colOff>
      <xdr:row>6</xdr:row>
      <xdr:rowOff>802821</xdr:rowOff>
    </xdr:from>
    <xdr:to>
      <xdr:col>13</xdr:col>
      <xdr:colOff>299358</xdr:colOff>
      <xdr:row>22</xdr:row>
      <xdr:rowOff>219502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A75AA8-81C1-A5EF-2A42-5146CB7C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4" y="3469821"/>
          <a:ext cx="9593035" cy="4383288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26</xdr:row>
      <xdr:rowOff>231321</xdr:rowOff>
    </xdr:from>
    <xdr:to>
      <xdr:col>12</xdr:col>
      <xdr:colOff>715735</xdr:colOff>
      <xdr:row>44</xdr:row>
      <xdr:rowOff>247036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37A8543-5008-E8D7-9AE4-B2279BABD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7" y="9429750"/>
          <a:ext cx="9261021" cy="49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53</xdr:row>
      <xdr:rowOff>27213</xdr:rowOff>
    </xdr:from>
    <xdr:to>
      <xdr:col>18</xdr:col>
      <xdr:colOff>707573</xdr:colOff>
      <xdr:row>69</xdr:row>
      <xdr:rowOff>208417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F0622A1-E42C-9288-0052-04363010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19131642"/>
          <a:ext cx="13601700" cy="4535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132079</xdr:colOff>
      <xdr:row>0</xdr:row>
      <xdr:rowOff>60960</xdr:rowOff>
    </xdr:from>
    <xdr:to>
      <xdr:col>2</xdr:col>
      <xdr:colOff>515074</xdr:colOff>
      <xdr:row>0</xdr:row>
      <xdr:rowOff>568960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0C554BA-C798-E1AE-E3EF-05E28C858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39" y="60960"/>
          <a:ext cx="1917155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132079</xdr:colOff>
      <xdr:row>15</xdr:row>
      <xdr:rowOff>71120</xdr:rowOff>
    </xdr:from>
    <xdr:to>
      <xdr:col>2</xdr:col>
      <xdr:colOff>515074</xdr:colOff>
      <xdr:row>15</xdr:row>
      <xdr:rowOff>579120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97A4439-8E2B-C845-B434-FDBD8FC9C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39" y="3383280"/>
          <a:ext cx="1917155" cy="508000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25</xdr:row>
      <xdr:rowOff>137160</xdr:rowOff>
    </xdr:from>
    <xdr:to>
      <xdr:col>15</xdr:col>
      <xdr:colOff>20320</xdr:colOff>
      <xdr:row>39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C4EB85-FC25-A3C6-E6B7-DAB5793B4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132079</xdr:colOff>
      <xdr:row>0</xdr:row>
      <xdr:rowOff>60960</xdr:rowOff>
    </xdr:from>
    <xdr:to>
      <xdr:col>2</xdr:col>
      <xdr:colOff>515074</xdr:colOff>
      <xdr:row>0</xdr:row>
      <xdr:rowOff>568960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2E8FF4-A228-9242-B295-4C2BA949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79" y="60960"/>
          <a:ext cx="1919695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132079</xdr:colOff>
      <xdr:row>15</xdr:row>
      <xdr:rowOff>71120</xdr:rowOff>
    </xdr:from>
    <xdr:to>
      <xdr:col>2</xdr:col>
      <xdr:colOff>515074</xdr:colOff>
      <xdr:row>15</xdr:row>
      <xdr:rowOff>579120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9A5964-2429-D54D-9FB0-F986A744A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79" y="3347720"/>
          <a:ext cx="1919695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8CFA-6109-B445-95B0-49E9B1940C2B}">
  <dimension ref="A1:T80"/>
  <sheetViews>
    <sheetView tabSelected="1" zoomScale="70" zoomScaleNormal="70" workbookViewId="0">
      <selection activeCell="B55" sqref="B55"/>
    </sheetView>
  </sheetViews>
  <sheetFormatPr defaultColWidth="0" defaultRowHeight="15" zeroHeight="1" x14ac:dyDescent="0.25"/>
  <cols>
    <col min="1" max="20" width="10.85546875" customWidth="1"/>
    <col min="21" max="16384" width="10.85546875" hidden="1"/>
  </cols>
  <sheetData>
    <row r="1" spans="1:20" ht="46.5" x14ac:dyDescent="0.7">
      <c r="A1" s="45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ht="92.1" customHeight="1" x14ac:dyDescent="0.25">
      <c r="A3" s="46" t="s">
        <v>35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4" spans="1:20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0" s="29" customFormat="1" ht="21" x14ac:dyDescent="0.35">
      <c r="A5" s="34" t="s">
        <v>36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s="29" customFormat="1" ht="21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s="30" customFormat="1" ht="69.95" customHeight="1" x14ac:dyDescent="0.35">
      <c r="A7" s="47" t="s">
        <v>50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1:20" s="29" customFormat="1" ht="21" x14ac:dyDescent="0.35">
      <c r="A8" s="35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s="29" customFormat="1" ht="21" x14ac:dyDescent="0.35">
      <c r="A9" s="35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0" s="29" customFormat="1" ht="21" x14ac:dyDescent="0.35">
      <c r="A10" s="35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s="29" customFormat="1" ht="21" x14ac:dyDescent="0.35">
      <c r="A11" s="35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0" s="29" customFormat="1" ht="21" x14ac:dyDescent="0.35">
      <c r="A12" s="35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0" s="29" customFormat="1" ht="21" x14ac:dyDescent="0.35">
      <c r="A13" s="35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29" customFormat="1" ht="21" x14ac:dyDescent="0.35">
      <c r="A14" s="35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29" customFormat="1" ht="21" x14ac:dyDescent="0.35">
      <c r="A15" s="35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29" customFormat="1" ht="21" x14ac:dyDescent="0.35">
      <c r="A16" s="35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29" customFormat="1" ht="21" x14ac:dyDescent="0.35">
      <c r="A17" s="35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29" customFormat="1" ht="21" x14ac:dyDescent="0.3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29" customFormat="1" ht="21" x14ac:dyDescent="0.35">
      <c r="A19" s="35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29" customFormat="1" ht="21" x14ac:dyDescent="0.35">
      <c r="A20" s="35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29" customFormat="1" ht="21" x14ac:dyDescent="0.35">
      <c r="A21" s="35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29" customFormat="1" ht="21" x14ac:dyDescent="0.3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</row>
    <row r="23" spans="1:20" s="29" customFormat="1" ht="21" x14ac:dyDescent="0.35">
      <c r="A23" s="35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s="29" customFormat="1" ht="21" x14ac:dyDescent="0.35">
      <c r="A24" s="35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</row>
    <row r="25" spans="1:20" s="31" customFormat="1" ht="21" x14ac:dyDescent="0.3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s="30" customFormat="1" ht="59.1" customHeight="1" x14ac:dyDescent="0.35">
      <c r="A26" s="47" t="s">
        <v>51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</row>
    <row r="27" spans="1:20" s="29" customFormat="1" ht="21" x14ac:dyDescent="0.35">
      <c r="A27" s="35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8" spans="1:20" s="29" customFormat="1" ht="21" x14ac:dyDescent="0.35">
      <c r="A28" s="35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spans="1:20" s="29" customFormat="1" ht="21" x14ac:dyDescent="0.35">
      <c r="A29" s="35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</row>
    <row r="30" spans="1:20" s="29" customFormat="1" ht="21" x14ac:dyDescent="0.35">
      <c r="A30" s="35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spans="1:20" s="29" customFormat="1" ht="21" x14ac:dyDescent="0.35">
      <c r="A31" s="35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spans="1:20" s="29" customFormat="1" ht="21" x14ac:dyDescent="0.35">
      <c r="A32" s="35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</row>
    <row r="33" spans="1:20" s="29" customFormat="1" ht="21" x14ac:dyDescent="0.35">
      <c r="A33" s="35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</row>
    <row r="34" spans="1:20" s="29" customFormat="1" ht="21" x14ac:dyDescent="0.35">
      <c r="A34" s="35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</row>
    <row r="35" spans="1:20" s="29" customFormat="1" ht="21" x14ac:dyDescent="0.35">
      <c r="A35" s="35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</row>
    <row r="36" spans="1:20" s="29" customFormat="1" ht="21" x14ac:dyDescent="0.35">
      <c r="A36" s="3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</row>
    <row r="37" spans="1:20" s="29" customFormat="1" ht="21" x14ac:dyDescent="0.35">
      <c r="A37" s="35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</row>
    <row r="38" spans="1:20" s="29" customFormat="1" ht="21" x14ac:dyDescent="0.35">
      <c r="A38" s="35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</row>
    <row r="39" spans="1:20" s="29" customFormat="1" ht="21" x14ac:dyDescent="0.35">
      <c r="A39" s="35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</row>
    <row r="40" spans="1:20" s="29" customFormat="1" ht="21" x14ac:dyDescent="0.35">
      <c r="A40" s="35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</row>
    <row r="41" spans="1:20" s="29" customFormat="1" ht="21" x14ac:dyDescent="0.35">
      <c r="A41" s="35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</row>
    <row r="42" spans="1:20" s="29" customFormat="1" ht="21" x14ac:dyDescent="0.35">
      <c r="A42" s="35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</row>
    <row r="43" spans="1:20" s="29" customFormat="1" ht="21" x14ac:dyDescent="0.35">
      <c r="A43" s="35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</row>
    <row r="44" spans="1:20" s="29" customFormat="1" ht="21" x14ac:dyDescent="0.35">
      <c r="A44" s="35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</row>
    <row r="45" spans="1:20" s="29" customFormat="1" ht="21" x14ac:dyDescent="0.35">
      <c r="A45" s="35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</row>
    <row r="46" spans="1:20" s="29" customFormat="1" ht="21" x14ac:dyDescent="0.35">
      <c r="A46" s="35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</row>
    <row r="47" spans="1:20" s="29" customFormat="1" ht="21" x14ac:dyDescent="0.35">
      <c r="A47" s="35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spans="1:20" s="31" customFormat="1" ht="21" x14ac:dyDescent="0.35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s="32" customFormat="1" ht="63.95" customHeight="1" x14ac:dyDescent="0.35">
      <c r="A49" s="43" t="s">
        <v>52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 spans="1:20" s="32" customFormat="1" ht="71.099999999999994" customHeight="1" x14ac:dyDescent="0.35">
      <c r="A50" s="43" t="s">
        <v>53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 spans="1:20" s="32" customFormat="1" ht="65.099999999999994" customHeight="1" x14ac:dyDescent="0.35">
      <c r="A51" s="43" t="s">
        <v>54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 spans="1:20" s="32" customFormat="1" ht="53.1" customHeight="1" x14ac:dyDescent="0.35">
      <c r="A52" s="43" t="s">
        <v>37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 spans="1:20" s="29" customFormat="1" ht="57" customHeight="1" x14ac:dyDescent="0.35">
      <c r="A53" s="47" t="s">
        <v>38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9"/>
    </row>
    <row r="54" spans="1:20" s="29" customFormat="1" ht="21" x14ac:dyDescent="0.35">
      <c r="A54" s="35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8"/>
    </row>
    <row r="55" spans="1:20" s="29" customFormat="1" ht="21" x14ac:dyDescent="0.35">
      <c r="A55" s="35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8"/>
    </row>
    <row r="56" spans="1:20" s="29" customFormat="1" ht="21" x14ac:dyDescent="0.35">
      <c r="A56" s="35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8"/>
    </row>
    <row r="57" spans="1:20" s="29" customFormat="1" ht="21" x14ac:dyDescent="0.35">
      <c r="A57" s="35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8"/>
    </row>
    <row r="58" spans="1:20" s="29" customFormat="1" ht="21" x14ac:dyDescent="0.35">
      <c r="A58" s="35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8"/>
    </row>
    <row r="59" spans="1:20" s="29" customFormat="1" ht="21" x14ac:dyDescent="0.35">
      <c r="A59" s="35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8"/>
    </row>
    <row r="60" spans="1:20" s="29" customFormat="1" ht="21" x14ac:dyDescent="0.35">
      <c r="A60" s="35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8"/>
    </row>
    <row r="61" spans="1:20" s="29" customFormat="1" ht="21" x14ac:dyDescent="0.35">
      <c r="A61" s="35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8"/>
    </row>
    <row r="62" spans="1:20" s="29" customFormat="1" ht="21" x14ac:dyDescent="0.35">
      <c r="A62" s="35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8"/>
    </row>
    <row r="63" spans="1:20" s="29" customFormat="1" ht="21" x14ac:dyDescent="0.35">
      <c r="A63" s="35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8"/>
    </row>
    <row r="64" spans="1:20" s="29" customFormat="1" ht="21" x14ac:dyDescent="0.35">
      <c r="A64" s="35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8"/>
    </row>
    <row r="65" spans="1:20" s="29" customFormat="1" ht="21" x14ac:dyDescent="0.35">
      <c r="A65" s="35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8"/>
    </row>
    <row r="66" spans="1:20" s="29" customFormat="1" ht="21" x14ac:dyDescent="0.35">
      <c r="A66" s="35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8"/>
    </row>
    <row r="67" spans="1:20" s="29" customFormat="1" ht="21" x14ac:dyDescent="0.35">
      <c r="A67" s="35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8"/>
    </row>
    <row r="68" spans="1:20" s="29" customFormat="1" ht="21" x14ac:dyDescent="0.35">
      <c r="A68" s="35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8"/>
    </row>
    <row r="69" spans="1:20" s="29" customFormat="1" ht="21" x14ac:dyDescent="0.35">
      <c r="A69" s="35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8"/>
    </row>
    <row r="70" spans="1:20" s="29" customFormat="1" ht="21" x14ac:dyDescent="0.35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9"/>
    </row>
    <row r="71" spans="1:20" s="29" customFormat="1" ht="72.95" customHeight="1" x14ac:dyDescent="0.35">
      <c r="A71" s="48" t="s">
        <v>39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</row>
    <row r="72" spans="1:20" s="32" customFormat="1" ht="72" customHeight="1" x14ac:dyDescent="0.35">
      <c r="A72" s="43" t="s">
        <v>55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</row>
    <row r="73" spans="1:20" s="32" customFormat="1" ht="72" customHeight="1" x14ac:dyDescent="0.35">
      <c r="A73" s="43" t="s">
        <v>40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</row>
    <row r="74" spans="1:20" hidden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1:20" hidden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1:20" hidden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spans="1:20" hidden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spans="1:20" hidden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spans="1:20" hidden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spans="1:20" hidden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</sheetData>
  <mergeCells count="12">
    <mergeCell ref="A73:T73"/>
    <mergeCell ref="A1:T1"/>
    <mergeCell ref="A3:T3"/>
    <mergeCell ref="A7:T7"/>
    <mergeCell ref="A26:T26"/>
    <mergeCell ref="A49:T49"/>
    <mergeCell ref="A50:T50"/>
    <mergeCell ref="A51:T51"/>
    <mergeCell ref="A52:T52"/>
    <mergeCell ref="A53:T53"/>
    <mergeCell ref="A71:T71"/>
    <mergeCell ref="A72:T7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8774-D8F5-AE43-834F-A67F05FB6C10}">
  <dimension ref="B1:T42"/>
  <sheetViews>
    <sheetView showGridLines="0" zoomScale="130" zoomScaleNormal="130" workbookViewId="0">
      <selection activeCell="K23" sqref="K23"/>
    </sheetView>
  </sheetViews>
  <sheetFormatPr defaultColWidth="10.85546875" defaultRowHeight="15" zeroHeight="1" x14ac:dyDescent="0.25"/>
  <cols>
    <col min="1" max="1" width="2.85546875" style="11" customWidth="1"/>
    <col min="2" max="2" width="20.140625" style="11" bestFit="1" customWidth="1"/>
    <col min="3" max="3" width="15.85546875" style="11" bestFit="1" customWidth="1"/>
    <col min="4" max="15" width="9.42578125" style="11" bestFit="1" customWidth="1"/>
    <col min="16" max="16" width="10.85546875" style="11" customWidth="1"/>
    <col min="17" max="16384" width="10.85546875" style="11"/>
  </cols>
  <sheetData>
    <row r="1" spans="2:20" ht="48" customHeight="1" x14ac:dyDescent="0.25">
      <c r="B1" s="50" t="s">
        <v>26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2:20" x14ac:dyDescent="0.25"/>
    <row r="3" spans="2:20" x14ac:dyDescent="0.25">
      <c r="B3" s="12"/>
      <c r="C3" s="13" t="s">
        <v>20</v>
      </c>
      <c r="D3" s="14">
        <v>45658</v>
      </c>
      <c r="E3" s="14">
        <v>45689</v>
      </c>
      <c r="F3" s="14">
        <v>45717</v>
      </c>
      <c r="G3" s="14">
        <v>45748</v>
      </c>
      <c r="H3" s="14">
        <v>45778</v>
      </c>
      <c r="I3" s="14">
        <v>45809</v>
      </c>
      <c r="J3" s="14">
        <v>45839</v>
      </c>
      <c r="K3" s="14">
        <v>45870</v>
      </c>
      <c r="L3" s="14">
        <v>45901</v>
      </c>
      <c r="M3" s="14">
        <v>45931</v>
      </c>
      <c r="N3" s="14">
        <v>45962</v>
      </c>
      <c r="O3" s="14">
        <v>45992</v>
      </c>
      <c r="Q3" s="24"/>
      <c r="R3" s="24"/>
      <c r="S3" s="24"/>
      <c r="T3" s="24"/>
    </row>
    <row r="4" spans="2:20" x14ac:dyDescent="0.25">
      <c r="B4" s="13" t="s">
        <v>15</v>
      </c>
      <c r="C4" s="15">
        <f t="shared" ref="C4:C6" si="0">SUM(D4:O4)</f>
        <v>0</v>
      </c>
      <c r="D4" s="15">
        <f>SUM(D5:D6)</f>
        <v>0</v>
      </c>
      <c r="E4" s="15">
        <f t="shared" ref="E4:O4" si="1">SUM(E5:E6)</f>
        <v>0</v>
      </c>
      <c r="F4" s="15">
        <f t="shared" si="1"/>
        <v>0</v>
      </c>
      <c r="G4" s="15">
        <f t="shared" si="1"/>
        <v>0</v>
      </c>
      <c r="H4" s="15">
        <f t="shared" si="1"/>
        <v>0</v>
      </c>
      <c r="I4" s="15">
        <f t="shared" si="1"/>
        <v>0</v>
      </c>
      <c r="J4" s="15">
        <f t="shared" si="1"/>
        <v>0</v>
      </c>
      <c r="K4" s="15">
        <f t="shared" si="1"/>
        <v>0</v>
      </c>
      <c r="L4" s="15">
        <f t="shared" si="1"/>
        <v>0</v>
      </c>
      <c r="M4" s="15">
        <f t="shared" si="1"/>
        <v>0</v>
      </c>
      <c r="N4" s="15">
        <f t="shared" si="1"/>
        <v>0</v>
      </c>
      <c r="O4" s="15">
        <f t="shared" si="1"/>
        <v>0</v>
      </c>
      <c r="Q4" s="24"/>
      <c r="R4" s="24"/>
      <c r="S4" s="24"/>
      <c r="T4" s="24"/>
    </row>
    <row r="5" spans="2:20" x14ac:dyDescent="0.25">
      <c r="B5" s="16" t="s">
        <v>16</v>
      </c>
      <c r="C5" s="17">
        <f t="shared" si="0"/>
        <v>0</v>
      </c>
      <c r="D5" s="18">
        <f>SUMIFS('Atendimentos à Receber'!$R:$R,'Atendimentos à Receber'!$V:$V,"&gt;="&amp;45658,'Atendimentos à Receber'!$V:$V,"&lt;="&amp;45688)</f>
        <v>0</v>
      </c>
      <c r="E5" s="18">
        <f>SUMIFS('Atendimentos à Receber'!$R:$R,'Atendimentos à Receber'!$V:$V,"&gt;="&amp;45689,'Atendimentos à Receber'!$V:$V,"&lt;="&amp;45716)</f>
        <v>0</v>
      </c>
      <c r="F5" s="18">
        <f>SUMIFS('Atendimentos à Receber'!$R:$R,'Atendimentos à Receber'!$V:$V,"&gt;="&amp;45717,'Atendimentos à Receber'!$V:$V,"&lt;="&amp;45748)</f>
        <v>0</v>
      </c>
      <c r="G5" s="18">
        <f>SUMIFS('Atendimentos à Receber'!$R:$R,'Atendimentos à Receber'!$V:$V,"&gt;="&amp;45748,'Atendimentos à Receber'!$V:$V,"&lt;="&amp;45777)</f>
        <v>0</v>
      </c>
      <c r="H5" s="18">
        <f>SUMIFS('Atendimentos à Receber'!$R:$R,'Atendimentos à Receber'!$V:$V,"&gt;="&amp;45778,'Atendimentos à Receber'!$V:$V,"&lt;="&amp;45808)</f>
        <v>0</v>
      </c>
      <c r="I5" s="18">
        <f>SUMIFS('Atendimentos à Receber'!$R:$R,'Atendimentos à Receber'!$V:$V,"&gt;="&amp;45809,'Atendimentos à Receber'!$V:$V,"&lt;="&amp;45838)</f>
        <v>0</v>
      </c>
      <c r="J5" s="18">
        <f>SUMIFS('Atendimentos à Receber'!$R:$R,'Atendimentos à Receber'!$V:$V,"&gt;="&amp;45839,'Atendimentos à Receber'!$V:$V,"&lt;="&amp;45869)</f>
        <v>0</v>
      </c>
      <c r="K5" s="18">
        <f>SUMIFS('Atendimentos à Receber'!$R:$R,'Atendimentos à Receber'!$V:$V,"&gt;="&amp;45870,'Atendimentos à Receber'!$V:$V,"&lt;="&amp;45900)</f>
        <v>0</v>
      </c>
      <c r="L5" s="18">
        <f>SUMIFS('Atendimentos à Receber'!$R:$R,'Atendimentos à Receber'!$V:$V,"&gt;="&amp;45901,'Atendimentos à Receber'!$V:$V,"&lt;="&amp;45930)</f>
        <v>0</v>
      </c>
      <c r="M5" s="18">
        <f>SUMIFS('Atendimentos à Receber'!$R:$R,'Atendimentos à Receber'!$V:$V,"&gt;="&amp;45931,'Atendimentos à Receber'!$V:$V,"&lt;="&amp;45961)</f>
        <v>0</v>
      </c>
      <c r="N5" s="18">
        <f>SUMIFS('Atendimentos à Receber'!$R:$R,'Atendimentos à Receber'!$V:$V,"&gt;="&amp;45962,'Atendimentos à Receber'!$V:$V,"&lt;="&amp;45991)</f>
        <v>0</v>
      </c>
      <c r="O5" s="18">
        <f>SUMIFS('Atendimentos à Receber'!$R:$R,'Atendimentos à Receber'!$V:$V,"&gt;="&amp;45992,'Atendimentos à Receber'!$V:$V,"&lt;="&amp;46022)</f>
        <v>0</v>
      </c>
      <c r="Q5" s="24"/>
      <c r="R5" s="24"/>
      <c r="S5" s="24"/>
      <c r="T5" s="24"/>
    </row>
    <row r="6" spans="2:20" x14ac:dyDescent="0.25">
      <c r="B6" s="19" t="s">
        <v>17</v>
      </c>
      <c r="C6" s="20">
        <f t="shared" si="0"/>
        <v>0</v>
      </c>
      <c r="D6" s="21">
        <f>SUMIFS('Outras Contas à Receber'!$G:$G,'Outras Contas à Receber'!$I:$I,"&gt;="&amp;45658,'Outras Contas à Receber'!$I:$I,"&lt;="&amp;45688)</f>
        <v>0</v>
      </c>
      <c r="E6" s="21">
        <f>SUMIFS('Outras Contas à Receber'!$G:$G,'Outras Contas à Receber'!$I:$I,"&gt;="&amp;45689,'Outras Contas à Receber'!$I:$I,"&lt;="&amp;45716)</f>
        <v>0</v>
      </c>
      <c r="F6" s="21">
        <f>SUMIFS('Outras Contas à Receber'!$G:$G,'Outras Contas à Receber'!$I:$I,"&gt;="&amp;45717,'Outras Contas à Receber'!$I:$I,"&lt;="&amp;45747)</f>
        <v>0</v>
      </c>
      <c r="G6" s="21">
        <f>SUMIFS('Outras Contas à Receber'!$G:$G,'Outras Contas à Receber'!$I:$I,"&gt;="&amp;45748,'Outras Contas à Receber'!$I:$I,"&lt;="&amp;45777)</f>
        <v>0</v>
      </c>
      <c r="H6" s="21">
        <f>SUMIFS('Outras Contas à Receber'!$G:$G,'Outras Contas à Receber'!$I:$I,"&gt;="&amp;45778,'Outras Contas à Receber'!$I:$I,"&lt;="&amp;45808)</f>
        <v>0</v>
      </c>
      <c r="I6" s="21">
        <f>SUMIFS('Outras Contas à Receber'!$G:$G,'Outras Contas à Receber'!$I:$I,"&gt;="&amp;45809,'Outras Contas à Receber'!$I:$I,"&lt;="&amp;45838)</f>
        <v>0</v>
      </c>
      <c r="J6" s="21">
        <f>SUMIFS('Outras Contas à Receber'!$G:$G,'Outras Contas à Receber'!$I:$I,"&gt;="&amp;45839,'Outras Contas à Receber'!$I:$I,"&lt;="&amp;45869)</f>
        <v>0</v>
      </c>
      <c r="K6" s="21">
        <f>SUMIFS('Outras Contas à Receber'!$G:$G,'Outras Contas à Receber'!$I:$I,"&gt;="&amp;45870,'Outras Contas à Receber'!$I:$I,"&lt;="&amp;45900)</f>
        <v>0</v>
      </c>
      <c r="L6" s="21">
        <f>SUMIFS('Outras Contas à Receber'!$G:$G,'Outras Contas à Receber'!$I:$I,"&gt;="&amp;45901,'Outras Contas à Receber'!$I:$I,"&lt;="&amp;45930)</f>
        <v>0</v>
      </c>
      <c r="M6" s="21">
        <f>SUMIFS('Outras Contas à Receber'!$G:$G,'Outras Contas à Receber'!$I:$I,"&gt;="&amp;45931,'Outras Contas à Receber'!$I:$I,"&lt;="&amp;45961)</f>
        <v>0</v>
      </c>
      <c r="N6" s="21">
        <f>SUMIFS('Outras Contas à Receber'!$G:$G,'Outras Contas à Receber'!$I:$I,"&gt;="&amp;45962,'Outras Contas à Receber'!$I:$I,"&lt;="&amp;45991)</f>
        <v>0</v>
      </c>
      <c r="O6" s="21">
        <f>SUMIFS('Outras Contas à Receber'!$G:$G,'Outras Contas à Receber'!$I:$I,"&gt;="&amp;45992,'Outras Contas à Receber'!$I:$I,"&lt;="&amp;46022)</f>
        <v>0</v>
      </c>
      <c r="Q6" s="24"/>
      <c r="R6" s="24"/>
      <c r="S6" s="24"/>
      <c r="T6" s="24"/>
    </row>
    <row r="7" spans="2:20" x14ac:dyDescent="0.25">
      <c r="B7" s="13" t="s">
        <v>29</v>
      </c>
      <c r="C7" s="15">
        <f>SUM(D7:O7)</f>
        <v>0</v>
      </c>
      <c r="D7" s="15">
        <f>SUM(D8:D9)</f>
        <v>0</v>
      </c>
      <c r="E7" s="15">
        <f t="shared" ref="E7:O7" si="2">SUM(E8:E9)</f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Q7" s="24"/>
      <c r="R7" s="24"/>
      <c r="S7" s="24"/>
      <c r="T7" s="24"/>
    </row>
    <row r="8" spans="2:20" x14ac:dyDescent="0.25">
      <c r="B8" s="16" t="s">
        <v>18</v>
      </c>
      <c r="C8" s="17">
        <f>SUM(D8:O8)</f>
        <v>0</v>
      </c>
      <c r="D8" s="22">
        <f>-SUMIFS('Contas à Pagar'!$G:$G,'Contas à Pagar'!$H:$H,"&gt;="&amp;45658,'Contas à Pagar'!$H:$H,"&lt;="&amp;45688,'Contas à Pagar'!B:B,"Conta da clínica",'Contas à Pagar'!E:E,"Quitado")</f>
        <v>0</v>
      </c>
      <c r="E8" s="22">
        <f>-SUMIFS('Contas à Pagar'!$G:$G,'Contas à Pagar'!$H:$H,"&gt;="&amp;45689,'Contas à Pagar'!$H:$H,"&lt;="&amp;45716,'Contas à Pagar'!B:B,"Conta da clínica",'Contas à Pagar'!E:E,"Quitado")</f>
        <v>0</v>
      </c>
      <c r="F8" s="22">
        <f>-SUMIFS('Contas à Pagar'!$G:$G,'Contas à Pagar'!$H:$H,"&gt;="&amp;45717,'Contas à Pagar'!$H:$H,"&lt;="&amp;45747,'Contas à Pagar'!B:B,"Conta da clínica",'Contas à Pagar'!E:E,"Quitado")</f>
        <v>0</v>
      </c>
      <c r="G8" s="22">
        <f>-SUMIFS('Contas à Pagar'!$G:$G,'Contas à Pagar'!$H:$H,"&gt;="&amp;45748,'Contas à Pagar'!$H:$H,"&lt;="&amp;45777,'Contas à Pagar'!B:B,"Conta da clínica",'Contas à Pagar'!E:E,"Quitado")</f>
        <v>0</v>
      </c>
      <c r="H8" s="22">
        <f>-SUMIFS('Contas à Pagar'!$G:$G,'Contas à Pagar'!$H:$H,"&gt;="&amp;45778,'Contas à Pagar'!$H:$H,"&lt;="&amp;45808,'Contas à Pagar'!B:B,"Conta da clínica",'Contas à Pagar'!E:E,"Quitado")</f>
        <v>0</v>
      </c>
      <c r="I8" s="22">
        <f>-SUMIFS('Contas à Pagar'!$G:$G,'Contas à Pagar'!$H:$H,"&gt;="&amp;45809,'Contas à Pagar'!$H:$H,"&lt;="&amp;45838,'Contas à Pagar'!B:B,"Conta da clínica",'Contas à Pagar'!E:E,"Quitado")</f>
        <v>0</v>
      </c>
      <c r="J8" s="22">
        <f>-SUMIFS('Contas à Pagar'!$G:$G,'Contas à Pagar'!$H:$H,"&gt;="&amp;45839,'Contas à Pagar'!$H:$H,"&lt;="&amp;45869,'Contas à Pagar'!B:B,"Conta da clínica",'Contas à Pagar'!E:E,"Quitado")</f>
        <v>0</v>
      </c>
      <c r="K8" s="22">
        <f>-SUMIFS('Contas à Pagar'!$G:$G,'Contas à Pagar'!$H:$H,"&gt;="&amp;45870,'Contas à Pagar'!$H:$H,"&lt;="&amp;45900,'Contas à Pagar'!B:B,"Conta da clínica",'Contas à Pagar'!E:E,"Quitado")</f>
        <v>0</v>
      </c>
      <c r="L8" s="22">
        <f>-SUMIFS('Contas à Pagar'!$G:$G,'Contas à Pagar'!$H:$H,"&gt;="&amp;45901,'Contas à Pagar'!$H:$H,"&lt;="&amp;45930,'Contas à Pagar'!B:B,"Conta da clínica",'Contas à Pagar'!E:E,"Quitado")</f>
        <v>0</v>
      </c>
      <c r="M8" s="22">
        <f>-SUMIFS('Contas à Pagar'!$G:$G,'Contas à Pagar'!$H:$H,"&gt;="&amp;45931,'Contas à Pagar'!$H:$H,"&lt;="&amp;45961,'Contas à Pagar'!B:B,"Conta da clínica",'Contas à Pagar'!E:E,"Quitado")</f>
        <v>0</v>
      </c>
      <c r="N8" s="22">
        <f>-SUMIFS('Contas à Pagar'!$G:$G,'Contas à Pagar'!$H:$H,"&gt;="&amp;45962,'Contas à Pagar'!$H:$H,"&lt;="&amp;45991,'Contas à Pagar'!B:B,"Conta da clínica",'Contas à Pagar'!E:E,"Quitado")</f>
        <v>0</v>
      </c>
      <c r="O8" s="22">
        <f>-SUMIFS('Contas à Pagar'!$G:$G,'Contas à Pagar'!$H:$H,"&gt;="&amp;45992,'Contas à Pagar'!$H:$H,"&lt;="&amp;46022,'Contas à Pagar'!B:B,"Conta da clínica",'Contas à Pagar'!E:E,"Quitado")</f>
        <v>0</v>
      </c>
      <c r="Q8" s="24"/>
      <c r="R8" s="24"/>
      <c r="S8" s="24"/>
      <c r="T8" s="24"/>
    </row>
    <row r="9" spans="2:20" x14ac:dyDescent="0.25">
      <c r="B9" s="19" t="s">
        <v>28</v>
      </c>
      <c r="C9" s="20">
        <f t="shared" ref="C9" si="3">SUM(D9:O9)</f>
        <v>0</v>
      </c>
      <c r="D9" s="21">
        <f>-SUMIFS('Atendimentos à Receber'!$T:$T,'Atendimentos à Receber'!$V:$V,"&gt;="&amp;45658,'Atendimentos à Receber'!$V:$V,"&lt;="&amp;45688)</f>
        <v>0</v>
      </c>
      <c r="E9" s="21">
        <f>-SUMIFS('Atendimentos à Receber'!$T:$T,'Atendimentos à Receber'!$V:$V,"&gt;="&amp;45689,'Atendimentos à Receber'!$V:$V,"&lt;="&amp;45716)</f>
        <v>0</v>
      </c>
      <c r="F9" s="21">
        <f>-SUMIFS('Atendimentos à Receber'!$T:$T,'Atendimentos à Receber'!$V:$V,"&gt;="&amp;45717,'Atendimentos à Receber'!$V:$V,"&lt;="&amp;45748)</f>
        <v>0</v>
      </c>
      <c r="G9" s="21">
        <f>-SUMIFS('Atendimentos à Receber'!$T:$T,'Atendimentos à Receber'!$V:$V,"&gt;="&amp;45748,'Atendimentos à Receber'!$V:$V,"&lt;="&amp;45777)</f>
        <v>0</v>
      </c>
      <c r="H9" s="21">
        <f>-SUMIFS('Atendimentos à Receber'!$T:$T,'Atendimentos à Receber'!$V:$V,"&gt;="&amp;45778,'Atendimentos à Receber'!$V:$V,"&lt;="&amp;45808)</f>
        <v>0</v>
      </c>
      <c r="I9" s="21">
        <f>-SUMIFS('Atendimentos à Receber'!$T:$T,'Atendimentos à Receber'!$V:$V,"&gt;="&amp;45809,'Atendimentos à Receber'!$V:$V,"&lt;="&amp;45838)</f>
        <v>0</v>
      </c>
      <c r="J9" s="21">
        <f>-SUMIFS('Atendimentos à Receber'!$T:$T,'Atendimentos à Receber'!$V:$V,"&gt;="&amp;45839,'Atendimentos à Receber'!$V:$V,"&lt;="&amp;45869)</f>
        <v>0</v>
      </c>
      <c r="K9" s="21">
        <f>-SUMIFS('Atendimentos à Receber'!$T:$T,'Atendimentos à Receber'!$V:$V,"&gt;="&amp;45870,'Atendimentos à Receber'!$V:$V,"&lt;="&amp;45900)</f>
        <v>0</v>
      </c>
      <c r="L9" s="21">
        <f>-SUMIFS('Atendimentos à Receber'!$T:$T,'Atendimentos à Receber'!$V:$V,"&gt;="&amp;45901,'Atendimentos à Receber'!$V:$V,"&lt;="&amp;45930)</f>
        <v>0</v>
      </c>
      <c r="M9" s="21">
        <f>-SUMIFS('Atendimentos à Receber'!$T:$T,'Atendimentos à Receber'!$V:$V,"&gt;="&amp;45931,'Atendimentos à Receber'!$V:$V,"&lt;="&amp;45961)</f>
        <v>0</v>
      </c>
      <c r="N9" s="21">
        <f>-SUMIFS('Atendimentos à Receber'!$T:$T,'Atendimentos à Receber'!$V:$V,"&gt;="&amp;45962,'Atendimentos à Receber'!$V:$V,"&lt;="&amp;45991)</f>
        <v>0</v>
      </c>
      <c r="O9" s="21">
        <f>-SUMIFS('Atendimentos à Receber'!$T:$T,'Atendimentos à Receber'!$V:$V,"&gt;="&amp;45992,'Atendimentos à Receber'!$V:$V,"&lt;="&amp;46022)</f>
        <v>0</v>
      </c>
      <c r="Q9" s="24"/>
      <c r="R9" s="24"/>
      <c r="S9" s="24"/>
      <c r="T9" s="24"/>
    </row>
    <row r="10" spans="2:20" x14ac:dyDescent="0.25">
      <c r="B10" s="13" t="s">
        <v>19</v>
      </c>
      <c r="C10" s="15">
        <f>SUM(D10:O10)</f>
        <v>0</v>
      </c>
      <c r="D10" s="15">
        <f t="shared" ref="D10:O10" si="4">D4+D7</f>
        <v>0</v>
      </c>
      <c r="E10" s="15">
        <f t="shared" si="4"/>
        <v>0</v>
      </c>
      <c r="F10" s="15">
        <f t="shared" si="4"/>
        <v>0</v>
      </c>
      <c r="G10" s="15">
        <f t="shared" si="4"/>
        <v>0</v>
      </c>
      <c r="H10" s="15">
        <f t="shared" si="4"/>
        <v>0</v>
      </c>
      <c r="I10" s="15">
        <f t="shared" si="4"/>
        <v>0</v>
      </c>
      <c r="J10" s="15">
        <f t="shared" si="4"/>
        <v>0</v>
      </c>
      <c r="K10" s="15">
        <f t="shared" si="4"/>
        <v>0</v>
      </c>
      <c r="L10" s="15">
        <f t="shared" si="4"/>
        <v>0</v>
      </c>
      <c r="M10" s="15">
        <f t="shared" si="4"/>
        <v>0</v>
      </c>
      <c r="N10" s="15">
        <f t="shared" si="4"/>
        <v>0</v>
      </c>
      <c r="O10" s="15">
        <f t="shared" si="4"/>
        <v>0</v>
      </c>
      <c r="Q10" s="24"/>
      <c r="R10" s="24"/>
      <c r="S10" s="24"/>
      <c r="T10" s="24"/>
    </row>
    <row r="11" spans="2:20" x14ac:dyDescent="0.25">
      <c r="Q11" s="24"/>
      <c r="R11" s="24"/>
      <c r="S11" s="24"/>
      <c r="T11" s="24"/>
    </row>
    <row r="12" spans="2:20" x14ac:dyDescent="0.25">
      <c r="B12" s="51" t="s">
        <v>24</v>
      </c>
      <c r="C12" s="51"/>
      <c r="D12" s="15">
        <f>C13+D10</f>
        <v>0</v>
      </c>
      <c r="E12" s="15">
        <f t="shared" ref="E12:O12" si="5">D12+E10</f>
        <v>0</v>
      </c>
      <c r="F12" s="15">
        <f t="shared" si="5"/>
        <v>0</v>
      </c>
      <c r="G12" s="15">
        <f t="shared" si="5"/>
        <v>0</v>
      </c>
      <c r="H12" s="15">
        <f t="shared" si="5"/>
        <v>0</v>
      </c>
      <c r="I12" s="15">
        <f t="shared" si="5"/>
        <v>0</v>
      </c>
      <c r="J12" s="15">
        <f t="shared" si="5"/>
        <v>0</v>
      </c>
      <c r="K12" s="15">
        <f t="shared" si="5"/>
        <v>0</v>
      </c>
      <c r="L12" s="15">
        <f t="shared" si="5"/>
        <v>0</v>
      </c>
      <c r="M12" s="15">
        <f t="shared" si="5"/>
        <v>0</v>
      </c>
      <c r="N12" s="15">
        <f t="shared" si="5"/>
        <v>0</v>
      </c>
      <c r="O12" s="15">
        <f t="shared" si="5"/>
        <v>0</v>
      </c>
      <c r="Q12" s="24"/>
      <c r="R12" s="24"/>
      <c r="S12" s="24"/>
      <c r="T12" s="24"/>
    </row>
    <row r="13" spans="2:20" x14ac:dyDescent="0.25">
      <c r="B13" s="26" t="s">
        <v>25</v>
      </c>
      <c r="C13" s="23"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24"/>
      <c r="R13" s="24"/>
      <c r="S13" s="24"/>
      <c r="T13" s="24"/>
    </row>
    <row r="14" spans="2:20" x14ac:dyDescent="0.25">
      <c r="Q14" s="24"/>
      <c r="R14" s="24"/>
      <c r="S14" s="24"/>
      <c r="T14" s="24"/>
    </row>
    <row r="15" spans="2:20" x14ac:dyDescent="0.25">
      <c r="Q15" s="40"/>
      <c r="R15" s="40"/>
    </row>
    <row r="16" spans="2:20" ht="48" customHeight="1" x14ac:dyDescent="0.25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2:15" x14ac:dyDescent="0.25">
      <c r="D17" s="25"/>
    </row>
    <row r="18" spans="2:15" x14ac:dyDescent="0.25">
      <c r="B18" s="12"/>
      <c r="C18" s="13" t="s">
        <v>20</v>
      </c>
      <c r="D18" s="14">
        <v>45292</v>
      </c>
      <c r="E18" s="14">
        <v>45323</v>
      </c>
      <c r="F18" s="14">
        <v>45352</v>
      </c>
      <c r="G18" s="14">
        <v>45383</v>
      </c>
      <c r="H18" s="14">
        <v>45413</v>
      </c>
      <c r="I18" s="14">
        <v>45444</v>
      </c>
      <c r="J18" s="14">
        <v>45474</v>
      </c>
      <c r="K18" s="14">
        <v>45505</v>
      </c>
      <c r="L18" s="14">
        <v>45536</v>
      </c>
      <c r="M18" s="14">
        <v>45566</v>
      </c>
      <c r="N18" s="14">
        <v>45597</v>
      </c>
      <c r="O18" s="14">
        <v>45627</v>
      </c>
    </row>
    <row r="19" spans="2:15" x14ac:dyDescent="0.25">
      <c r="B19" s="13" t="s">
        <v>30</v>
      </c>
      <c r="C19" s="15">
        <f t="shared" ref="C19:C21" si="6">SUM(D19:O19)</f>
        <v>0</v>
      </c>
      <c r="D19" s="15">
        <f>SUM(D20:D21)</f>
        <v>0</v>
      </c>
      <c r="E19" s="15">
        <f t="shared" ref="E19" si="7">SUM(E20:E21)</f>
        <v>0</v>
      </c>
      <c r="F19" s="15">
        <f t="shared" ref="F19" si="8">SUM(F20:F21)</f>
        <v>0</v>
      </c>
      <c r="G19" s="15">
        <f t="shared" ref="G19" si="9">SUM(G20:G21)</f>
        <v>0</v>
      </c>
      <c r="H19" s="15">
        <f t="shared" ref="H19" si="10">SUM(H20:H21)</f>
        <v>0</v>
      </c>
      <c r="I19" s="15">
        <f t="shared" ref="I19" si="11">SUM(I20:I21)</f>
        <v>0</v>
      </c>
      <c r="J19" s="15">
        <f t="shared" ref="J19" si="12">SUM(J20:J21)</f>
        <v>0</v>
      </c>
      <c r="K19" s="15">
        <f t="shared" ref="K19" si="13">SUM(K20:K21)</f>
        <v>0</v>
      </c>
      <c r="L19" s="15">
        <f t="shared" ref="L19" si="14">SUM(L20:L21)</f>
        <v>0</v>
      </c>
      <c r="M19" s="15">
        <f t="shared" ref="M19" si="15">SUM(M20:M21)</f>
        <v>0</v>
      </c>
      <c r="N19" s="15">
        <f t="shared" ref="N19" si="16">SUM(N20:N21)</f>
        <v>0</v>
      </c>
      <c r="O19" s="15">
        <f t="shared" ref="O19" si="17">SUM(O20:O21)</f>
        <v>0</v>
      </c>
    </row>
    <row r="20" spans="2:15" x14ac:dyDescent="0.25">
      <c r="B20" s="16" t="s">
        <v>16</v>
      </c>
      <c r="C20" s="17">
        <f t="shared" si="6"/>
        <v>0</v>
      </c>
      <c r="D20" s="18">
        <f>SUMIFS('Atendimentos à Receber'!$S:$S,'Atendimentos à Receber'!$V:$V,"&gt;="&amp;45658,'Atendimentos à Receber'!$V:$V,"&lt;="&amp;45688)-SUMIFS('Atendimentos à Receber'!$R:$R,'Atendimentos à Receber'!$V:$V,"&gt;="&amp;45658,'Atendimentos à Receber'!$V:$V,"&lt;="&amp;45688)</f>
        <v>0</v>
      </c>
      <c r="E20" s="18">
        <f>SUMIFS('Atendimentos à Receber'!$S:$S,'Atendimentos à Receber'!$V:$V,"&gt;="&amp;45689,'Atendimentos à Receber'!$V:$V,"&lt;="&amp;45716)-SUMIFS('Atendimentos à Receber'!$R:$R,'Atendimentos à Receber'!$V:$V,"&gt;="&amp;45689,'Atendimentos à Receber'!$V:$V,"&lt;="&amp;45716)</f>
        <v>0</v>
      </c>
      <c r="F20" s="18">
        <f>SUMIFS('Atendimentos à Receber'!$S:$S,'Atendimentos à Receber'!$V:$V,"&gt;="&amp;45717,'Atendimentos à Receber'!$V:$V,"&lt;="&amp;45748)-SUMIFS('Atendimentos à Receber'!$R:$R,'Atendimentos à Receber'!$V:$V,"&gt;="&amp;45717,'Atendimentos à Receber'!$V:$V,"&lt;="&amp;45748)</f>
        <v>0</v>
      </c>
      <c r="G20" s="18">
        <f>SUMIFS('Atendimentos à Receber'!$S:$S,'Atendimentos à Receber'!$V:$V,"&gt;="&amp;45748,'Atendimentos à Receber'!$V:$V,"&lt;="&amp;45777)-SUMIFS('Atendimentos à Receber'!$R:$R,'Atendimentos à Receber'!$V:$V,"&gt;="&amp;45748,'Atendimentos à Receber'!$V:$V,"&lt;="&amp;45777)</f>
        <v>0</v>
      </c>
      <c r="H20" s="18">
        <f>SUMIFS('Atendimentos à Receber'!$S:$S,'Atendimentos à Receber'!$V:$V,"&gt;="&amp;45778,'Atendimentos à Receber'!$V:$V,"&lt;="&amp;45808)-SUMIFS('Atendimentos à Receber'!$R:$R,'Atendimentos à Receber'!$V:$V,"&gt;="&amp;45778,'Atendimentos à Receber'!$V:$V,"&lt;="&amp;45808)</f>
        <v>0</v>
      </c>
      <c r="I20" s="18">
        <f>SUMIFS('Atendimentos à Receber'!$S:$S,'Atendimentos à Receber'!$V:$V,"&gt;="&amp;45809,'Atendimentos à Receber'!$V:$V,"&lt;="&amp;45838)-SUMIFS('Atendimentos à Receber'!$R:$R,'Atendimentos à Receber'!$V:$V,"&gt;="&amp;45809,'Atendimentos à Receber'!$V:$V,"&lt;="&amp;45838)</f>
        <v>0</v>
      </c>
      <c r="J20" s="18">
        <f>SUMIFS('Atendimentos à Receber'!$S:$S,'Atendimentos à Receber'!$V:$V,"&gt;="&amp;45839,'Atendimentos à Receber'!$V:$V,"&lt;="&amp;45869)-SUMIFS('Atendimentos à Receber'!$R:$R,'Atendimentos à Receber'!$V:$V,"&gt;="&amp;45839,'Atendimentos à Receber'!$V:$V,"&lt;="&amp;45869)</f>
        <v>0</v>
      </c>
      <c r="K20" s="18">
        <f>SUMIFS('Atendimentos à Receber'!$S:$S,'Atendimentos à Receber'!$V:$V,"&gt;="&amp;45870,'Atendimentos à Receber'!$V:$V,"&lt;="&amp;45900)-SUMIFS('Atendimentos à Receber'!$R:$R,'Atendimentos à Receber'!$V:$V,"&gt;="&amp;45870,'Atendimentos à Receber'!$V:$V,"&lt;="&amp;45900)</f>
        <v>0</v>
      </c>
      <c r="L20" s="18">
        <f>SUMIFS('Atendimentos à Receber'!$S:$S,'Atendimentos à Receber'!$V:$V,"&gt;="&amp;45901,'Atendimentos à Receber'!$V:$V,"&lt;="&amp;45930)-SUMIFS('Atendimentos à Receber'!$R:$R,'Atendimentos à Receber'!$V:$V,"&gt;="&amp;45901,'Atendimentos à Receber'!$V:$V,"&lt;="&amp;45930)</f>
        <v>0</v>
      </c>
      <c r="M20" s="18">
        <f>SUMIFS('Atendimentos à Receber'!$S:$S,'Atendimentos à Receber'!$V:$V,"&gt;="&amp;45931,'Atendimentos à Receber'!$V:$V,"&lt;="&amp;45961)-SUMIFS('Atendimentos à Receber'!$R:$R,'Atendimentos à Receber'!$V:$V,"&gt;="&amp;45931,'Atendimentos à Receber'!$V:$V,"&lt;="&amp;45961)</f>
        <v>0</v>
      </c>
      <c r="N20" s="18">
        <f>SUMIFS('Atendimentos à Receber'!$S:$S,'Atendimentos à Receber'!$V:$V,"&gt;="&amp;45962,'Atendimentos à Receber'!$V:$V,"&lt;="&amp;45991)-SUMIFS('Atendimentos à Receber'!$R:$R,'Atendimentos à Receber'!$V:$V,"&gt;="&amp;45962,'Atendimentos à Receber'!$V:$V,"&lt;="&amp;45991)</f>
        <v>0</v>
      </c>
      <c r="O20" s="18">
        <f>SUMIFS('Atendimentos à Receber'!$S:$S,'Atendimentos à Receber'!$V:$V,"&gt;="&amp;45992,'Atendimentos à Receber'!$V:$V,"&lt;="&amp;46022)-SUMIFS('Atendimentos à Receber'!$R:$R,'Atendimentos à Receber'!$V:$V,"&gt;="&amp;45992,'Atendimentos à Receber'!$V:$V,"&lt;="&amp;46022)</f>
        <v>0</v>
      </c>
    </row>
    <row r="21" spans="2:15" x14ac:dyDescent="0.25">
      <c r="B21" s="19" t="s">
        <v>17</v>
      </c>
      <c r="C21" s="20">
        <f t="shared" si="6"/>
        <v>0</v>
      </c>
      <c r="D21" s="21">
        <f>SUMIFS('Outras Contas à Receber'!$H:$H,'Outras Contas à Receber'!$I:$I,"&gt;="&amp;45658,'Outras Contas à Receber'!$I:$I,"&lt;="&amp;45688)-SUMIFS('Outras Contas à Receber'!$G:$G,'Outras Contas à Receber'!$I:$I,"&gt;="&amp;45658,'Outras Contas à Receber'!$I:$I,"&lt;="&amp;45688)</f>
        <v>0</v>
      </c>
      <c r="E21" s="21">
        <f>SUMIFS('Outras Contas à Receber'!$H:$H,'Outras Contas à Receber'!$I:$I,"&gt;="&amp;45689,'Outras Contas à Receber'!$I:$I,"&lt;="&amp;45716)-SUMIFS('Outras Contas à Receber'!$G:$G,'Outras Contas à Receber'!$I:$I,"&gt;="&amp;45689,'Outras Contas à Receber'!$I:$I,"&lt;="&amp;45716)</f>
        <v>0</v>
      </c>
      <c r="F21" s="21">
        <f>SUMIFS('Outras Contas à Receber'!$H:$H,'Outras Contas à Receber'!$I:$I,"&gt;="&amp;45717,'Outras Contas à Receber'!$I:$I,"&lt;="&amp;45747)-SUMIFS('Outras Contas à Receber'!$G:$G,'Outras Contas à Receber'!$I:$I,"&gt;="&amp;45717,'Outras Contas à Receber'!$I:$I,"&lt;="&amp;45747)</f>
        <v>0</v>
      </c>
      <c r="G21" s="21">
        <f>SUMIFS('Outras Contas à Receber'!$H:$H,'Outras Contas à Receber'!$I:$I,"&gt;="&amp;45748,'Outras Contas à Receber'!$I:$I,"&lt;="&amp;45777)-SUMIFS('Outras Contas à Receber'!$G:$G,'Outras Contas à Receber'!$I:$I,"&gt;="&amp;45748,'Outras Contas à Receber'!$I:$I,"&lt;="&amp;45777)</f>
        <v>0</v>
      </c>
      <c r="H21" s="21">
        <f>SUMIFS('Outras Contas à Receber'!$H:$H,'Outras Contas à Receber'!$I:$I,"&gt;="&amp;45778,'Outras Contas à Receber'!$I:$I,"&lt;="&amp;45808)-SUMIFS('Outras Contas à Receber'!$G:$G,'Outras Contas à Receber'!$I:$I,"&gt;="&amp;45778,'Outras Contas à Receber'!$I:$I,"&lt;="&amp;45808)</f>
        <v>0</v>
      </c>
      <c r="I21" s="21">
        <f>SUMIFS('Outras Contas à Receber'!$H:$H,'Outras Contas à Receber'!$I:$I,"&gt;="&amp;45809,'Outras Contas à Receber'!$I:$I,"&lt;="&amp;45838)-SUMIFS('Outras Contas à Receber'!$G:$G,'Outras Contas à Receber'!$I:$I,"&gt;="&amp;45809,'Outras Contas à Receber'!$I:$I,"&lt;="&amp;45838)</f>
        <v>0</v>
      </c>
      <c r="J21" s="21">
        <f>SUMIFS('Outras Contas à Receber'!$H:$H,'Outras Contas à Receber'!$I:$I,"&gt;="&amp;45839,'Outras Contas à Receber'!$I:$I,"&lt;="&amp;45869)-SUMIFS('Outras Contas à Receber'!$G:$G,'Outras Contas à Receber'!$I:$I,"&gt;="&amp;45839,'Outras Contas à Receber'!$I:$I,"&lt;="&amp;45869)</f>
        <v>0</v>
      </c>
      <c r="K21" s="21">
        <f>SUMIFS('Outras Contas à Receber'!$H:$H,'Outras Contas à Receber'!$I:$I,"&gt;="&amp;45870,'Outras Contas à Receber'!$I:$I,"&lt;="&amp;45900)-SUMIFS('Outras Contas à Receber'!$G:$G,'Outras Contas à Receber'!$I:$I,"&gt;="&amp;45870,'Outras Contas à Receber'!$I:$I,"&lt;="&amp;45900)</f>
        <v>0</v>
      </c>
      <c r="L21" s="21">
        <f>SUMIFS('Outras Contas à Receber'!$H:$H,'Outras Contas à Receber'!$I:$I,"&gt;="&amp;45901,'Outras Contas à Receber'!$I:$I,"&lt;="&amp;45930)-SUMIFS('Outras Contas à Receber'!$G:$G,'Outras Contas à Receber'!$I:$I,"&gt;="&amp;45901,'Outras Contas à Receber'!$I:$I,"&lt;="&amp;45930)</f>
        <v>0</v>
      </c>
      <c r="M21" s="21">
        <f>SUMIFS('Outras Contas à Receber'!$H:$H,'Outras Contas à Receber'!$I:$I,"&gt;="&amp;45931,'Outras Contas à Receber'!$I:$I,"&lt;="&amp;45961)-SUMIFS('Outras Contas à Receber'!$G:$G,'Outras Contas à Receber'!$I:$I,"&gt;="&amp;45931,'Outras Contas à Receber'!$I:$I,"&lt;="&amp;45961)</f>
        <v>0</v>
      </c>
      <c r="N21" s="21">
        <f>SUMIFS('Outras Contas à Receber'!$H:$H,'Outras Contas à Receber'!$I:$I,"&gt;="&amp;45962,'Outras Contas à Receber'!$I:$I,"&lt;="&amp;45991)-SUMIFS('Outras Contas à Receber'!$G:$G,'Outras Contas à Receber'!$I:$I,"&gt;="&amp;45962,'Outras Contas à Receber'!$I:$I,"&lt;="&amp;45991)</f>
        <v>0</v>
      </c>
      <c r="O21" s="21">
        <f>SUMIFS('Outras Contas à Receber'!$H:$H,'Outras Contas à Receber'!$I:$I,"&gt;="&amp;45992,'Outras Contas à Receber'!$I:$I,"&lt;="&amp;46022)-SUMIFS('Outras Contas à Receber'!$G:$G,'Outras Contas à Receber'!$I:$I,"&gt;="&amp;45992,'Outras Contas à Receber'!$I:$I,"&lt;="&amp;46022)</f>
        <v>0</v>
      </c>
    </row>
    <row r="22" spans="2:15" x14ac:dyDescent="0.25">
      <c r="B22" s="13" t="s">
        <v>31</v>
      </c>
      <c r="C22" s="15">
        <f t="shared" ref="C22" si="18">SUM(D22:O22)</f>
        <v>0</v>
      </c>
      <c r="D22" s="15">
        <f>SUM(D23:D24)</f>
        <v>0</v>
      </c>
      <c r="E22" s="15">
        <f t="shared" ref="E22:O22" si="19">SUM(E23:E24)</f>
        <v>0</v>
      </c>
      <c r="F22" s="15">
        <f t="shared" si="19"/>
        <v>0</v>
      </c>
      <c r="G22" s="15">
        <f t="shared" si="19"/>
        <v>0</v>
      </c>
      <c r="H22" s="15">
        <f t="shared" si="19"/>
        <v>0</v>
      </c>
      <c r="I22" s="15">
        <f t="shared" si="19"/>
        <v>0</v>
      </c>
      <c r="J22" s="15">
        <f t="shared" si="19"/>
        <v>0</v>
      </c>
      <c r="K22" s="15">
        <f t="shared" si="19"/>
        <v>0</v>
      </c>
      <c r="L22" s="15">
        <f t="shared" si="19"/>
        <v>0</v>
      </c>
      <c r="M22" s="15">
        <f t="shared" si="19"/>
        <v>0</v>
      </c>
      <c r="N22" s="15">
        <f t="shared" si="19"/>
        <v>0</v>
      </c>
      <c r="O22" s="15">
        <f t="shared" si="19"/>
        <v>0</v>
      </c>
    </row>
    <row r="23" spans="2:15" x14ac:dyDescent="0.25">
      <c r="B23" s="16" t="s">
        <v>18</v>
      </c>
      <c r="C23" s="17">
        <f>SUM(D23:O23)</f>
        <v>0</v>
      </c>
      <c r="D23" s="22">
        <f>-SUMIFS('Contas à Pagar'!$G:$G,'Contas à Pagar'!$H:$H,"&gt;="&amp;45658,'Contas à Pagar'!$H:$H,"&lt;="&amp;45688,'Contas à Pagar'!B:B,"Conta da clínica",'Contas à Pagar'!E:E,"Em Aberto")</f>
        <v>0</v>
      </c>
      <c r="E23" s="22">
        <f>-SUMIFS('Contas à Pagar'!$G:$G,'Contas à Pagar'!$H:$H,"&gt;="&amp;45689,'Contas à Pagar'!$H:$H,"&lt;="&amp;45716,'Contas à Pagar'!B:B,"Conta da clínica",'Contas à Pagar'!E:E,"Em Aberto")</f>
        <v>0</v>
      </c>
      <c r="F23" s="22">
        <f>-SUMIFS('Contas à Pagar'!$G:$G,'Contas à Pagar'!$H:$H,"&gt;="&amp;45717,'Contas à Pagar'!$H:$H,"&lt;="&amp;45747,'Contas à Pagar'!B:B,"Conta da clínica",'Contas à Pagar'!E:E,"Em Aberto")</f>
        <v>0</v>
      </c>
      <c r="G23" s="22">
        <f>-SUMIFS('Contas à Pagar'!$G:$G,'Contas à Pagar'!$H:$H,"&gt;="&amp;45748,'Contas à Pagar'!$H:$H,"&lt;="&amp;45777,'Contas à Pagar'!B:B,"Conta da clínica",'Contas à Pagar'!E:E,"Em Aberto")</f>
        <v>0</v>
      </c>
      <c r="H23" s="22">
        <f>-SUMIFS('Contas à Pagar'!$G:$G,'Contas à Pagar'!$H:$H,"&gt;="&amp;45778,'Contas à Pagar'!$H:$H,"&lt;="&amp;45808,'Contas à Pagar'!B:B,"Conta da clínica",'Contas à Pagar'!E:E,"Em Aberto")</f>
        <v>0</v>
      </c>
      <c r="I23" s="22">
        <f>-SUMIFS('Contas à Pagar'!$G:$G,'Contas à Pagar'!$H:$H,"&gt;="&amp;45809,'Contas à Pagar'!$H:$H,"&lt;="&amp;45838,'Contas à Pagar'!B:B,"Conta da clínica",'Contas à Pagar'!E:E,"Em Aberto")</f>
        <v>0</v>
      </c>
      <c r="J23" s="22">
        <f>-SUMIFS('Contas à Pagar'!$G:$G,'Contas à Pagar'!$H:$H,"&gt;="&amp;45839,'Contas à Pagar'!$H:$H,"&lt;="&amp;45869,'Contas à Pagar'!B:B,"Conta da clínica",'Contas à Pagar'!E:E,"Em Aberto")</f>
        <v>0</v>
      </c>
      <c r="K23" s="22">
        <f>-SUMIFS('Contas à Pagar'!$G:$G,'Contas à Pagar'!$H:$H,"&gt;="&amp;45870,'Contas à Pagar'!$H:$H,"&lt;="&amp;45900,'Contas à Pagar'!B:B,"Conta da clínica",'Contas à Pagar'!E:E,"Em Aberto")</f>
        <v>0</v>
      </c>
      <c r="L23" s="22">
        <f>-SUMIFS('Contas à Pagar'!$G:$G,'Contas à Pagar'!$H:$H,"&gt;="&amp;45901,'Contas à Pagar'!$H:$H,"&lt;="&amp;45930,'Contas à Pagar'!B:B,"Conta da clínica",'Contas à Pagar'!E:E,"Em Aberto")</f>
        <v>0</v>
      </c>
      <c r="M23" s="22">
        <f>-SUMIFS('Contas à Pagar'!$G:$G,'Contas à Pagar'!$H:$H,"&gt;="&amp;45931,'Contas à Pagar'!$H:$H,"&lt;="&amp;45961,'Contas à Pagar'!B:B,"Conta da clínica",'Contas à Pagar'!E:E,"Em Aberto")</f>
        <v>0</v>
      </c>
      <c r="N23" s="22">
        <f>-SUMIFS('Contas à Pagar'!$G:$G,'Contas à Pagar'!$H:$H,"&gt;="&amp;45962,'Contas à Pagar'!$H:$H,"&lt;="&amp;45991,'Contas à Pagar'!B:B,"Conta da clínica",'Contas à Pagar'!E:E,"Em Aberto")</f>
        <v>0</v>
      </c>
      <c r="O23" s="22">
        <f>-SUMIFS('Contas à Pagar'!$G:$G,'Contas à Pagar'!$H:$H,"&gt;="&amp;45992,'Contas à Pagar'!$H:$H,"&lt;="&amp;46022,'Contas à Pagar'!B:B,"Conta da clínica",'Contas à Pagar'!E:E,"Em Aberto")</f>
        <v>0</v>
      </c>
    </row>
    <row r="24" spans="2:15" x14ac:dyDescent="0.25">
      <c r="B24" s="19" t="s">
        <v>28</v>
      </c>
      <c r="C24" s="20">
        <f>SUM(D24:O24)</f>
        <v>0</v>
      </c>
      <c r="D24" s="21">
        <f>-SUMIFS('Atendimentos à Receber'!$U:$U,'Atendimentos à Receber'!$V:$V,"&gt;="&amp;45658,'Atendimentos à Receber'!$V:$V,"&lt;="&amp;45688)+SUMIFS('Atendimentos à Receber'!$T:$T,'Atendimentos à Receber'!$V:$V,"&gt;="&amp;45658,'Atendimentos à Receber'!$V:$V,"&lt;="&amp;45688)</f>
        <v>0</v>
      </c>
      <c r="E24" s="21">
        <f>-SUMIFS('Atendimentos à Receber'!$U:$U,'Atendimentos à Receber'!$V:$V,"&gt;="&amp;45689,'Atendimentos à Receber'!$V:$V,"&lt;="&amp;45716)+SUMIFS('Atendimentos à Receber'!$T:$T,'Atendimentos à Receber'!$V:$V,"&gt;="&amp;45689,'Atendimentos à Receber'!$V:$V,"&lt;="&amp;45716)</f>
        <v>0</v>
      </c>
      <c r="F24" s="21">
        <f>-SUMIFS('Atendimentos à Receber'!$U:$U,'Atendimentos à Receber'!$V:$V,"&gt;="&amp;45717,'Atendimentos à Receber'!$V:$V,"&lt;="&amp;45748)+SUMIFS('Atendimentos à Receber'!$T:$T,'Atendimentos à Receber'!$V:$V,"&gt;="&amp;45717,'Atendimentos à Receber'!$V:$V,"&lt;="&amp;45748)</f>
        <v>0</v>
      </c>
      <c r="G24" s="21">
        <f>-SUMIFS('Atendimentos à Receber'!$U:$U,'Atendimentos à Receber'!$V:$V,"&gt;="&amp;45748,'Atendimentos à Receber'!$V:$V,"&lt;="&amp;45777)+SUMIFS('Atendimentos à Receber'!$T:$T,'Atendimentos à Receber'!$V:$V,"&gt;="&amp;45748,'Atendimentos à Receber'!$V:$V,"&lt;="&amp;45777)</f>
        <v>0</v>
      </c>
      <c r="H24" s="21">
        <f>-SUMIFS('Atendimentos à Receber'!$U:$U,'Atendimentos à Receber'!$V:$V,"&gt;="&amp;45778,'Atendimentos à Receber'!$V:$V,"&lt;="&amp;45808)+SUMIFS('Atendimentos à Receber'!$T:$T,'Atendimentos à Receber'!$V:$V,"&gt;="&amp;45778,'Atendimentos à Receber'!$V:$V,"&lt;="&amp;45808)</f>
        <v>0</v>
      </c>
      <c r="I24" s="21">
        <f>-SUMIFS('Atendimentos à Receber'!$U:$U,'Atendimentos à Receber'!$V:$V,"&gt;="&amp;45809,'Atendimentos à Receber'!$V:$V,"&lt;="&amp;45838)+SUMIFS('Atendimentos à Receber'!$T:$T,'Atendimentos à Receber'!$V:$V,"&gt;="&amp;45809,'Atendimentos à Receber'!$V:$V,"&lt;="&amp;45838)</f>
        <v>0</v>
      </c>
      <c r="J24" s="21">
        <f>-SUMIFS('Atendimentos à Receber'!$U:$U,'Atendimentos à Receber'!$V:$V,"&gt;="&amp;45839,'Atendimentos à Receber'!$V:$V,"&lt;="&amp;45869)+SUMIFS('Atendimentos à Receber'!$T:$T,'Atendimentos à Receber'!$V:$V,"&gt;="&amp;45839,'Atendimentos à Receber'!$V:$V,"&lt;="&amp;45869)</f>
        <v>0</v>
      </c>
      <c r="K24" s="21">
        <f>-SUMIFS('Atendimentos à Receber'!$U:$U,'Atendimentos à Receber'!$V:$V,"&gt;="&amp;45870,'Atendimentos à Receber'!$V:$V,"&lt;="&amp;45900)+SUMIFS('Atendimentos à Receber'!$T:$T,'Atendimentos à Receber'!$V:$V,"&gt;="&amp;45870,'Atendimentos à Receber'!$V:$V,"&lt;="&amp;45900)</f>
        <v>0</v>
      </c>
      <c r="L24" s="21">
        <f>-SUMIFS('Atendimentos à Receber'!$U:$U,'Atendimentos à Receber'!$V:$V,"&gt;="&amp;45901,'Atendimentos à Receber'!$V:$V,"&lt;="&amp;45930)+SUMIFS('Atendimentos à Receber'!$T:$T,'Atendimentos à Receber'!$V:$V,"&gt;="&amp;45901,'Atendimentos à Receber'!$V:$V,"&lt;="&amp;45930)</f>
        <v>0</v>
      </c>
      <c r="M24" s="21">
        <f>-SUMIFS('Atendimentos à Receber'!$U:$U,'Atendimentos à Receber'!$V:$V,"&gt;="&amp;45931,'Atendimentos à Receber'!$V:$V,"&lt;="&amp;45961)+SUMIFS('Atendimentos à Receber'!$T:$T,'Atendimentos à Receber'!$V:$V,"&gt;="&amp;45931,'Atendimentos à Receber'!$V:$V,"&lt;="&amp;45961)</f>
        <v>0</v>
      </c>
      <c r="N24" s="21">
        <f>-SUMIFS('Atendimentos à Receber'!$U:$U,'Atendimentos à Receber'!$V:$V,"&gt;="&amp;45962,'Atendimentos à Receber'!$V:$V,"&lt;="&amp;45991)+SUMIFS('Atendimentos à Receber'!$T:$T,'Atendimentos à Receber'!$V:$V,"&gt;="&amp;45962,'Atendimentos à Receber'!$V:$V,"&lt;="&amp;45991)</f>
        <v>0</v>
      </c>
      <c r="O24" s="21">
        <f>-SUMIFS('Atendimentos à Receber'!$U:$U,'Atendimentos à Receber'!$V:$V,"&gt;="&amp;45992,'Atendimentos à Receber'!$V:$V,"&lt;="&amp;46022)+SUMIFS('Atendimentos à Receber'!$T:$T,'Atendimentos à Receber'!$V:$V,"&gt;="&amp;45992,'Atendimentos à Receber'!$V:$V,"&lt;="&amp;46022)</f>
        <v>0</v>
      </c>
    </row>
    <row r="25" spans="2:15" x14ac:dyDescent="0.25">
      <c r="B25" s="13" t="s">
        <v>32</v>
      </c>
      <c r="C25" s="15">
        <f>SUM(D25:O25)</f>
        <v>0</v>
      </c>
      <c r="D25" s="15">
        <f>D19+D22</f>
        <v>0</v>
      </c>
      <c r="E25" s="15">
        <f t="shared" ref="E25:O25" si="20">E19+E22</f>
        <v>0</v>
      </c>
      <c r="F25" s="15">
        <f t="shared" si="20"/>
        <v>0</v>
      </c>
      <c r="G25" s="15">
        <f t="shared" si="20"/>
        <v>0</v>
      </c>
      <c r="H25" s="15">
        <f t="shared" si="20"/>
        <v>0</v>
      </c>
      <c r="I25" s="15">
        <f t="shared" si="20"/>
        <v>0</v>
      </c>
      <c r="J25" s="15">
        <f t="shared" si="20"/>
        <v>0</v>
      </c>
      <c r="K25" s="15">
        <f t="shared" si="20"/>
        <v>0</v>
      </c>
      <c r="L25" s="15">
        <f t="shared" si="20"/>
        <v>0</v>
      </c>
      <c r="M25" s="15">
        <f t="shared" si="20"/>
        <v>0</v>
      </c>
      <c r="N25" s="15">
        <f t="shared" si="20"/>
        <v>0</v>
      </c>
      <c r="O25" s="15">
        <f t="shared" si="20"/>
        <v>0</v>
      </c>
    </row>
    <row r="26" spans="2:15" x14ac:dyDescent="0.25"/>
    <row r="27" spans="2:15" x14ac:dyDescent="0.25">
      <c r="D27" s="27"/>
    </row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</sheetData>
  <mergeCells count="3">
    <mergeCell ref="B1:O1"/>
    <mergeCell ref="B12:C12"/>
    <mergeCell ref="B16:O1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4906-E955-2340-93FF-F37FBB1E9360}">
  <dimension ref="B1:T27"/>
  <sheetViews>
    <sheetView showGridLines="0" zoomScale="130" zoomScaleNormal="130" workbookViewId="0">
      <selection activeCell="C10" sqref="C10"/>
    </sheetView>
  </sheetViews>
  <sheetFormatPr defaultColWidth="10.85546875" defaultRowHeight="15" x14ac:dyDescent="0.25"/>
  <cols>
    <col min="1" max="1" width="2.85546875" style="11" customWidth="1"/>
    <col min="2" max="2" width="20.140625" style="11" bestFit="1" customWidth="1"/>
    <col min="3" max="3" width="15.85546875" style="11" bestFit="1" customWidth="1"/>
    <col min="4" max="15" width="9.42578125" style="11" bestFit="1" customWidth="1"/>
    <col min="16" max="16384" width="10.85546875" style="11"/>
  </cols>
  <sheetData>
    <row r="1" spans="2:20" ht="48" customHeight="1" x14ac:dyDescent="0.25">
      <c r="B1" s="50" t="s">
        <v>33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3" spans="2:20" x14ac:dyDescent="0.25">
      <c r="B3" s="26"/>
      <c r="C3" s="13" t="s">
        <v>20</v>
      </c>
      <c r="D3" s="14">
        <v>45292</v>
      </c>
      <c r="E3" s="14">
        <v>45323</v>
      </c>
      <c r="F3" s="14">
        <v>45352</v>
      </c>
      <c r="G3" s="14">
        <v>45383</v>
      </c>
      <c r="H3" s="14">
        <v>45413</v>
      </c>
      <c r="I3" s="14">
        <v>45444</v>
      </c>
      <c r="J3" s="14">
        <v>45474</v>
      </c>
      <c r="K3" s="14">
        <v>45505</v>
      </c>
      <c r="L3" s="14">
        <v>45536</v>
      </c>
      <c r="M3" s="14">
        <v>45566</v>
      </c>
      <c r="N3" s="14">
        <v>45597</v>
      </c>
      <c r="O3" s="14">
        <v>45627</v>
      </c>
      <c r="Q3" s="24"/>
      <c r="R3" s="24"/>
      <c r="S3" s="24"/>
      <c r="T3" s="24"/>
    </row>
    <row r="4" spans="2:20" x14ac:dyDescent="0.25">
      <c r="B4" s="13" t="s">
        <v>15</v>
      </c>
      <c r="C4" s="15">
        <f t="shared" ref="C4:C6" si="0">SUM(D4:O4)</f>
        <v>0</v>
      </c>
      <c r="D4" s="15">
        <f>SUM(D5:D6)</f>
        <v>0</v>
      </c>
      <c r="E4" s="15">
        <f t="shared" ref="E4:O4" si="1">SUM(E5:E6)</f>
        <v>0</v>
      </c>
      <c r="F4" s="15">
        <f t="shared" si="1"/>
        <v>0</v>
      </c>
      <c r="G4" s="15">
        <f t="shared" si="1"/>
        <v>0</v>
      </c>
      <c r="H4" s="15">
        <f t="shared" si="1"/>
        <v>0</v>
      </c>
      <c r="I4" s="15">
        <f t="shared" si="1"/>
        <v>0</v>
      </c>
      <c r="J4" s="15">
        <f t="shared" si="1"/>
        <v>0</v>
      </c>
      <c r="K4" s="15">
        <f t="shared" si="1"/>
        <v>0</v>
      </c>
      <c r="L4" s="15">
        <f t="shared" si="1"/>
        <v>0</v>
      </c>
      <c r="M4" s="15">
        <f t="shared" si="1"/>
        <v>0</v>
      </c>
      <c r="N4" s="15">
        <f t="shared" si="1"/>
        <v>0</v>
      </c>
      <c r="O4" s="15">
        <f t="shared" si="1"/>
        <v>0</v>
      </c>
      <c r="Q4" s="24"/>
      <c r="R4" s="24"/>
      <c r="S4" s="24"/>
      <c r="T4" s="24"/>
    </row>
    <row r="5" spans="2:20" x14ac:dyDescent="0.25">
      <c r="B5" s="16" t="s">
        <v>16</v>
      </c>
      <c r="C5" s="17">
        <f t="shared" si="0"/>
        <v>0</v>
      </c>
      <c r="D5" s="18">
        <f>SUMIFS('Atendimentos à Receber'!$R:$R,'Atendimentos à Receber'!$V:$V,"&gt;="&amp;45658,'Atendimentos à Receber'!$V:$V,"&lt;="&amp;45688,'Atendimentos à Receber'!$E:$E,$B$3)</f>
        <v>0</v>
      </c>
      <c r="E5" s="18">
        <f>SUMIFS('Atendimentos à Receber'!$R:$R,'Atendimentos à Receber'!$V:$V,"&gt;="&amp;45689,'Atendimentos à Receber'!$V:$V,"&lt;="&amp;45716,'Atendimentos à Receber'!$E:$E,$B$3)</f>
        <v>0</v>
      </c>
      <c r="F5" s="18">
        <f>SUMIFS('Atendimentos à Receber'!$R:$R,'Atendimentos à Receber'!$V:$V,"&gt;="&amp;45717,'Atendimentos à Receber'!$V:$V,"&lt;="&amp;45748,'Atendimentos à Receber'!$E:$E,$B$3)</f>
        <v>0</v>
      </c>
      <c r="G5" s="18">
        <f>SUMIFS('Atendimentos à Receber'!$R:$R,'Atendimentos à Receber'!$V:$V,"&gt;="&amp;45748,'Atendimentos à Receber'!$V:$V,"&lt;="&amp;45777,'Atendimentos à Receber'!$E:$E,$B$3)</f>
        <v>0</v>
      </c>
      <c r="H5" s="18">
        <f>SUMIFS('Atendimentos à Receber'!$R:$R,'Atendimentos à Receber'!$V:$V,"&gt;="&amp;45778,'Atendimentos à Receber'!$V:$V,"&lt;="&amp;45808,'Atendimentos à Receber'!$E:$E,$B$3)</f>
        <v>0</v>
      </c>
      <c r="I5" s="18">
        <f>SUMIFS('Atendimentos à Receber'!$R:$R,'Atendimentos à Receber'!$V:$V,"&gt;="&amp;45809,'Atendimentos à Receber'!$V:$V,"&lt;="&amp;45838,'Atendimentos à Receber'!$E:$E,$B$3)</f>
        <v>0</v>
      </c>
      <c r="J5" s="18">
        <f>SUMIFS('Atendimentos à Receber'!$R:$R,'Atendimentos à Receber'!$V:$V,"&gt;="&amp;45839,'Atendimentos à Receber'!$V:$V,"&lt;="&amp;45869,'Atendimentos à Receber'!$E:$E,$B$3)</f>
        <v>0</v>
      </c>
      <c r="K5" s="18">
        <f>SUMIFS('Atendimentos à Receber'!$R:$R,'Atendimentos à Receber'!$V:$V,"&gt;="&amp;45870,'Atendimentos à Receber'!$V:$V,"&lt;="&amp;45900,'Atendimentos à Receber'!$E:$E,$B$3)</f>
        <v>0</v>
      </c>
      <c r="L5" s="18">
        <f>SUMIFS('Atendimentos à Receber'!$R:$R,'Atendimentos à Receber'!$V:$V,"&gt;="&amp;45901,'Atendimentos à Receber'!$V:$V,"&lt;="&amp;45930,'Atendimentos à Receber'!$E:$E,$B$3)</f>
        <v>0</v>
      </c>
      <c r="M5" s="18">
        <f>SUMIFS('Atendimentos à Receber'!$R:$R,'Atendimentos à Receber'!$V:$V,"&gt;="&amp;45931,'Atendimentos à Receber'!$V:$V,"&lt;="&amp;45961,'Atendimentos à Receber'!$E:$E,$B$3)</f>
        <v>0</v>
      </c>
      <c r="N5" s="18">
        <f>SUMIFS('Atendimentos à Receber'!$R:$R,'Atendimentos à Receber'!$V:$V,"&gt;="&amp;45962,'Atendimentos à Receber'!$V:$V,"&lt;="&amp;45991,'Atendimentos à Receber'!$E:$E,$B$3)</f>
        <v>0</v>
      </c>
      <c r="O5" s="18">
        <f>SUMIFS('Atendimentos à Receber'!$R:$R,'Atendimentos à Receber'!$V:$V,"&gt;="&amp;45992,'Atendimentos à Receber'!$V:$V,"&lt;="&amp;46022,'Atendimentos à Receber'!$E:$E,$B$3)</f>
        <v>0</v>
      </c>
      <c r="Q5" s="24"/>
      <c r="R5" s="24"/>
      <c r="S5" s="24"/>
      <c r="T5" s="24"/>
    </row>
    <row r="6" spans="2:20" x14ac:dyDescent="0.25">
      <c r="B6" s="19" t="s">
        <v>17</v>
      </c>
      <c r="C6" s="20">
        <f t="shared" si="0"/>
        <v>0</v>
      </c>
      <c r="D6" s="21">
        <f>SUMIFS('Outras Contas à Receber'!$G:$G,'Outras Contas à Receber'!$I:$I,"&gt;="&amp;45658,'Outras Contas à Receber'!$I:$I,"&lt;="&amp;45688,'Outras Contas à Receber'!$B:$B,$B$3)</f>
        <v>0</v>
      </c>
      <c r="E6" s="21">
        <f>SUMIFS('Outras Contas à Receber'!$G:$G,'Outras Contas à Receber'!$I:$I,"&gt;="&amp;45689,'Outras Contas à Receber'!$I:$I,"&lt;="&amp;45716,'Outras Contas à Receber'!$B:$B,$B$3)</f>
        <v>0</v>
      </c>
      <c r="F6" s="21">
        <f>SUMIFS('Outras Contas à Receber'!$G:$G,'Outras Contas à Receber'!$I:$I,"&gt;="&amp;45717,'Outras Contas à Receber'!$I:$I,"&lt;="&amp;45747,'Outras Contas à Receber'!$B:$B,$B$3)</f>
        <v>0</v>
      </c>
      <c r="G6" s="21">
        <f>SUMIFS('Outras Contas à Receber'!$G:$G,'Outras Contas à Receber'!$I:$I,"&gt;="&amp;45748,'Outras Contas à Receber'!$I:$I,"&lt;="&amp;45777,'Outras Contas à Receber'!$B:$B,$B$3)</f>
        <v>0</v>
      </c>
      <c r="H6" s="21">
        <f>SUMIFS('Outras Contas à Receber'!$G:$G,'Outras Contas à Receber'!$I:$I,"&gt;="&amp;45778,'Outras Contas à Receber'!$I:$I,"&lt;="&amp;45808,'Outras Contas à Receber'!$B:$B,$B$3)</f>
        <v>0</v>
      </c>
      <c r="I6" s="21">
        <f>SUMIFS('Outras Contas à Receber'!$G:$G,'Outras Contas à Receber'!$I:$I,"&gt;="&amp;45809,'Outras Contas à Receber'!$I:$I,"&lt;="&amp;45838,'Outras Contas à Receber'!$B:$B,$B$3)</f>
        <v>0</v>
      </c>
      <c r="J6" s="21">
        <f>SUMIFS('Outras Contas à Receber'!$G:$G,'Outras Contas à Receber'!$I:$I,"&gt;="&amp;45839,'Outras Contas à Receber'!$I:$I,"&lt;="&amp;45869,'Outras Contas à Receber'!$B:$B,$B$3)</f>
        <v>0</v>
      </c>
      <c r="K6" s="21">
        <f>SUMIFS('Outras Contas à Receber'!$G:$G,'Outras Contas à Receber'!$I:$I,"&gt;="&amp;45870,'Outras Contas à Receber'!$I:$I,"&lt;="&amp;45900,'Outras Contas à Receber'!$B:$B,$B$3)</f>
        <v>0</v>
      </c>
      <c r="L6" s="21">
        <f>SUMIFS('Outras Contas à Receber'!$G:$G,'Outras Contas à Receber'!$I:$I,"&gt;="&amp;45901,'Outras Contas à Receber'!$I:$I,"&lt;="&amp;45930,'Outras Contas à Receber'!$B:$B,$B$3)</f>
        <v>0</v>
      </c>
      <c r="M6" s="21">
        <f>SUMIFS('Outras Contas à Receber'!$G:$G,'Outras Contas à Receber'!$I:$I,"&gt;="&amp;45931,'Outras Contas à Receber'!$I:$I,"&lt;="&amp;45961,'Outras Contas à Receber'!$B:$B,$B$3)</f>
        <v>0</v>
      </c>
      <c r="N6" s="21">
        <f>SUMIFS('Outras Contas à Receber'!$G:$G,'Outras Contas à Receber'!$I:$I,"&gt;="&amp;45962,'Outras Contas à Receber'!$I:$I,"&lt;="&amp;45991,'Outras Contas à Receber'!$B:$B,$B$3)</f>
        <v>0</v>
      </c>
      <c r="O6" s="21">
        <f>SUMIFS('Outras Contas à Receber'!$G:$G,'Outras Contas à Receber'!$I:$I,"&gt;="&amp;45992,'Outras Contas à Receber'!$I:$I,"&lt;="&amp;46022,'Outras Contas à Receber'!$B:$B,$B$3)</f>
        <v>0</v>
      </c>
      <c r="Q6" s="24"/>
      <c r="R6" s="24"/>
      <c r="S6" s="24"/>
      <c r="T6" s="24"/>
    </row>
    <row r="7" spans="2:20" x14ac:dyDescent="0.25">
      <c r="B7" s="13" t="s">
        <v>29</v>
      </c>
      <c r="C7" s="15">
        <f>SUM(D7:O7)</f>
        <v>0</v>
      </c>
      <c r="D7" s="15">
        <f>SUM(D8:D9)</f>
        <v>0</v>
      </c>
      <c r="E7" s="15">
        <f t="shared" ref="E7:O7" si="2">SUM(E8:E9)</f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Q7" s="24"/>
      <c r="R7" s="24"/>
      <c r="S7" s="24"/>
      <c r="T7" s="24"/>
    </row>
    <row r="8" spans="2:20" x14ac:dyDescent="0.25">
      <c r="B8" s="16" t="s">
        <v>18</v>
      </c>
      <c r="C8" s="17">
        <f>SUM(D8:O8)</f>
        <v>0</v>
      </c>
      <c r="D8" s="22">
        <f>-SUMIFS('Contas à Pagar'!$G:$G,'Contas à Pagar'!$H:$H,"&gt;="&amp;45658,'Contas à Pagar'!$H:$H,"&lt;="&amp;45688,'Contas à Pagar'!B:B,"Conta da clínica",'Contas à Pagar'!E:E,"Quitado",'Contas à Pagar'!B:B,$B$3)</f>
        <v>0</v>
      </c>
      <c r="E8" s="22">
        <f>-SUMIFS('Contas à Pagar'!$G:$G,'Contas à Pagar'!$H:$H,"&gt;="&amp;45689,'Contas à Pagar'!$H:$H,"&lt;="&amp;45716,'Contas à Pagar'!B:B,"Conta da clínica",'Contas à Pagar'!E:E,"Quitado",'Contas à Pagar'!B:B,$B$3)</f>
        <v>0</v>
      </c>
      <c r="F8" s="22">
        <f>-SUMIFS('Contas à Pagar'!$G:$G,'Contas à Pagar'!$H:$H,"&gt;="&amp;45717,'Contas à Pagar'!$H:$H,"&lt;="&amp;45747,'Contas à Pagar'!B:B,"Conta da clínica",'Contas à Pagar'!E:E,"Quitado",'Contas à Pagar'!B:B,$B$3)</f>
        <v>0</v>
      </c>
      <c r="G8" s="22">
        <f>-SUMIFS('Contas à Pagar'!$G:$G,'Contas à Pagar'!$H:$H,"&gt;="&amp;45748,'Contas à Pagar'!$H:$H,"&lt;="&amp;45777,'Contas à Pagar'!B:B,"Conta da clínica",'Contas à Pagar'!E:E,"Quitado",'Contas à Pagar'!B:B,$B$3)</f>
        <v>0</v>
      </c>
      <c r="H8" s="22">
        <f>-SUMIFS('Contas à Pagar'!$G:$G,'Contas à Pagar'!$H:$H,"&gt;="&amp;45778,'Contas à Pagar'!$H:$H,"&lt;="&amp;45808,'Contas à Pagar'!B:B,"Conta da clínica",'Contas à Pagar'!E:E,"Quitado",'Contas à Pagar'!B:B,$B$3)</f>
        <v>0</v>
      </c>
      <c r="I8" s="22">
        <f>-SUMIFS('Contas à Pagar'!$G:$G,'Contas à Pagar'!$H:$H,"&gt;="&amp;45809,'Contas à Pagar'!$H:$H,"&lt;="&amp;45838,'Contas à Pagar'!B:B,"Conta da clínica",'Contas à Pagar'!E:E,"Quitado",'Contas à Pagar'!B:B,$B$3)</f>
        <v>0</v>
      </c>
      <c r="J8" s="22">
        <f>-SUMIFS('Contas à Pagar'!$G:$G,'Contas à Pagar'!$H:$H,"&gt;="&amp;45839,'Contas à Pagar'!$H:$H,"&lt;="&amp;45869,'Contas à Pagar'!B:B,"Conta da clínica",'Contas à Pagar'!E:E,"Quitado",'Contas à Pagar'!B:B,$B$3)</f>
        <v>0</v>
      </c>
      <c r="K8" s="22">
        <f>-SUMIFS('Contas à Pagar'!$G:$G,'Contas à Pagar'!$H:$H,"&gt;="&amp;45870,'Contas à Pagar'!$H:$H,"&lt;="&amp;45900,'Contas à Pagar'!B:B,"Conta da clínica",'Contas à Pagar'!E:E,"Quitado",'Contas à Pagar'!B:B,$B$3)</f>
        <v>0</v>
      </c>
      <c r="L8" s="22">
        <f>-SUMIFS('Contas à Pagar'!$G:$G,'Contas à Pagar'!$H:$H,"&gt;="&amp;45901,'Contas à Pagar'!$H:$H,"&lt;="&amp;45930,'Contas à Pagar'!B:B,"Conta da clínica",'Contas à Pagar'!E:E,"Quitado",'Contas à Pagar'!B:B,$B$3)</f>
        <v>0</v>
      </c>
      <c r="M8" s="22">
        <f>-SUMIFS('Contas à Pagar'!$G:$G,'Contas à Pagar'!$H:$H,"&gt;="&amp;45931,'Contas à Pagar'!$H:$H,"&lt;="&amp;45961,'Contas à Pagar'!B:B,"Conta da clínica",'Contas à Pagar'!E:E,"Quitado",'Contas à Pagar'!B:B,$B$3)</f>
        <v>0</v>
      </c>
      <c r="N8" s="22">
        <f>-SUMIFS('Contas à Pagar'!$G:$G,'Contas à Pagar'!$H:$H,"&gt;="&amp;45962,'Contas à Pagar'!$H:$H,"&lt;="&amp;45991,'Contas à Pagar'!B:B,"Conta da clínica",'Contas à Pagar'!E:E,"Quitado",'Contas à Pagar'!B:B,$B$3)</f>
        <v>0</v>
      </c>
      <c r="O8" s="22">
        <f>-SUMIFS('Contas à Pagar'!$G:$G,'Contas à Pagar'!$H:$H,"&gt;="&amp;45992,'Contas à Pagar'!$H:$H,"&lt;="&amp;46022,'Contas à Pagar'!B:B,"Conta da clínica",'Contas à Pagar'!E:E,"Quitado",'Contas à Pagar'!B:B,$B$3)</f>
        <v>0</v>
      </c>
      <c r="Q8" s="24"/>
      <c r="R8" s="24"/>
      <c r="S8" s="24"/>
      <c r="T8" s="24"/>
    </row>
    <row r="9" spans="2:20" x14ac:dyDescent="0.25">
      <c r="B9" s="19" t="s">
        <v>28</v>
      </c>
      <c r="C9" s="20">
        <f t="shared" ref="C9" si="3">SUM(D9:O9)</f>
        <v>0</v>
      </c>
      <c r="D9" s="21">
        <f>-SUMIFS('Atendimentos à Receber'!$S:$S,'Atendimentos à Receber'!$V:$V,"&gt;="&amp;45658,'Atendimentos à Receber'!$V:$V,"&lt;="&amp;45688,'Atendimentos à Receber'!$E:$E,$B$3)</f>
        <v>0</v>
      </c>
      <c r="E9" s="21">
        <f>-SUMIFS('Atendimentos à Receber'!$S:$S,'Atendimentos à Receber'!$V:$V,"&gt;="&amp;45689,'Atendimentos à Receber'!$V:$V,"&lt;="&amp;45716,'Atendimentos à Receber'!$E:$E,$B$3)</f>
        <v>0</v>
      </c>
      <c r="F9" s="21">
        <f>-SUMIFS('Atendimentos à Receber'!$S:$S,'Atendimentos à Receber'!$V:$V,"&gt;="&amp;45717,'Atendimentos à Receber'!$V:$V,"&lt;="&amp;45748,'Atendimentos à Receber'!$E:$E,$B$3)</f>
        <v>0</v>
      </c>
      <c r="G9" s="21">
        <f>-SUMIFS('Atendimentos à Receber'!$S:$S,'Atendimentos à Receber'!$V:$V,"&gt;="&amp;45748,'Atendimentos à Receber'!$V:$V,"&lt;="&amp;45777,'Atendimentos à Receber'!$E:$E,$B$3)</f>
        <v>0</v>
      </c>
      <c r="H9" s="21">
        <f>-SUMIFS('Atendimentos à Receber'!$S:$S,'Atendimentos à Receber'!$V:$V,"&gt;="&amp;45778,'Atendimentos à Receber'!$V:$V,"&lt;="&amp;45808,'Atendimentos à Receber'!$E:$E,$B$3)</f>
        <v>0</v>
      </c>
      <c r="I9" s="21">
        <f>-SUMIFS('Atendimentos à Receber'!$S:$S,'Atendimentos à Receber'!$V:$V,"&gt;="&amp;45809,'Atendimentos à Receber'!$V:$V,"&lt;="&amp;45838,'Atendimentos à Receber'!$E:$E,$B$3)</f>
        <v>0</v>
      </c>
      <c r="J9" s="21">
        <f>-SUMIFS('Atendimentos à Receber'!$S:$S,'Atendimentos à Receber'!$V:$V,"&gt;="&amp;45839,'Atendimentos à Receber'!$V:$V,"&lt;="&amp;45869,'Atendimentos à Receber'!$E:$E,$B$3)</f>
        <v>0</v>
      </c>
      <c r="K9" s="21">
        <f>-SUMIFS('Atendimentos à Receber'!$S:$S,'Atendimentos à Receber'!$V:$V,"&gt;="&amp;45870,'Atendimentos à Receber'!$V:$V,"&lt;="&amp;45900,'Atendimentos à Receber'!$E:$E,$B$3)</f>
        <v>0</v>
      </c>
      <c r="L9" s="21">
        <f>-SUMIFS('Atendimentos à Receber'!$S:$S,'Atendimentos à Receber'!$V:$V,"&gt;="&amp;45901,'Atendimentos à Receber'!$V:$V,"&lt;="&amp;45930,'Atendimentos à Receber'!$E:$E,$B$3)</f>
        <v>0</v>
      </c>
      <c r="M9" s="21">
        <f>-SUMIFS('Atendimentos à Receber'!$S:$S,'Atendimentos à Receber'!$V:$V,"&gt;="&amp;45931,'Atendimentos à Receber'!$V:$V,"&lt;="&amp;45961,'Atendimentos à Receber'!$E:$E,$B$3)</f>
        <v>0</v>
      </c>
      <c r="N9" s="21">
        <f>-SUMIFS('Atendimentos à Receber'!$S:$S,'Atendimentos à Receber'!$V:$V,"&gt;="&amp;45962,'Atendimentos à Receber'!$V:$V,"&lt;="&amp;45991,'Atendimentos à Receber'!$E:$E,$B$3)</f>
        <v>0</v>
      </c>
      <c r="O9" s="21">
        <f>-SUMIFS('Atendimentos à Receber'!$S:$S,'Atendimentos à Receber'!$V:$V,"&gt;="&amp;45992,'Atendimentos à Receber'!$V:$V,"&lt;="&amp;46022,'Atendimentos à Receber'!$E:$E,$B$3)</f>
        <v>0</v>
      </c>
      <c r="Q9" s="24"/>
      <c r="R9" s="24"/>
      <c r="S9" s="24"/>
      <c r="T9" s="24"/>
    </row>
    <row r="10" spans="2:20" x14ac:dyDescent="0.25">
      <c r="B10" s="13" t="s">
        <v>19</v>
      </c>
      <c r="C10" s="15">
        <f>SUM(D10:O10)</f>
        <v>0</v>
      </c>
      <c r="D10" s="15">
        <f t="shared" ref="D10:O10" si="4">D4+D7</f>
        <v>0</v>
      </c>
      <c r="E10" s="15">
        <f t="shared" si="4"/>
        <v>0</v>
      </c>
      <c r="F10" s="15">
        <f t="shared" si="4"/>
        <v>0</v>
      </c>
      <c r="G10" s="15">
        <f t="shared" si="4"/>
        <v>0</v>
      </c>
      <c r="H10" s="15">
        <f t="shared" si="4"/>
        <v>0</v>
      </c>
      <c r="I10" s="15">
        <f t="shared" si="4"/>
        <v>0</v>
      </c>
      <c r="J10" s="15">
        <f t="shared" si="4"/>
        <v>0</v>
      </c>
      <c r="K10" s="15">
        <f t="shared" si="4"/>
        <v>0</v>
      </c>
      <c r="L10" s="15">
        <f t="shared" si="4"/>
        <v>0</v>
      </c>
      <c r="M10" s="15">
        <f t="shared" si="4"/>
        <v>0</v>
      </c>
      <c r="N10" s="15">
        <f t="shared" si="4"/>
        <v>0</v>
      </c>
      <c r="O10" s="15">
        <f t="shared" si="4"/>
        <v>0</v>
      </c>
      <c r="Q10" s="24"/>
      <c r="R10" s="24"/>
      <c r="S10" s="24"/>
      <c r="T10" s="24"/>
    </row>
    <row r="11" spans="2:20" x14ac:dyDescent="0.25">
      <c r="Q11" s="24"/>
      <c r="R11" s="24"/>
      <c r="S11" s="24"/>
      <c r="T11" s="24"/>
    </row>
    <row r="12" spans="2:20" x14ac:dyDescent="0.25">
      <c r="Q12" s="24"/>
      <c r="R12" s="24"/>
      <c r="S12" s="24"/>
      <c r="T12" s="24"/>
    </row>
    <row r="13" spans="2:20" x14ac:dyDescent="0.25">
      <c r="Q13" s="24"/>
      <c r="R13" s="24"/>
      <c r="S13" s="24"/>
      <c r="T13" s="24"/>
    </row>
    <row r="14" spans="2:20" x14ac:dyDescent="0.25">
      <c r="Q14" s="24"/>
      <c r="R14" s="24"/>
      <c r="S14" s="24"/>
      <c r="T14" s="24"/>
    </row>
    <row r="16" spans="2:20" ht="48" customHeight="1" x14ac:dyDescent="0.25">
      <c r="B16" s="50" t="s">
        <v>34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2:15" x14ac:dyDescent="0.25">
      <c r="D17" s="25"/>
    </row>
    <row r="18" spans="2:15" x14ac:dyDescent="0.25">
      <c r="B18" s="12"/>
      <c r="C18" s="13" t="s">
        <v>20</v>
      </c>
      <c r="D18" s="14">
        <v>45292</v>
      </c>
      <c r="E18" s="14">
        <v>45323</v>
      </c>
      <c r="F18" s="14">
        <v>45352</v>
      </c>
      <c r="G18" s="14">
        <v>45383</v>
      </c>
      <c r="H18" s="14">
        <v>45413</v>
      </c>
      <c r="I18" s="14">
        <v>45444</v>
      </c>
      <c r="J18" s="14">
        <v>45474</v>
      </c>
      <c r="K18" s="14">
        <v>45505</v>
      </c>
      <c r="L18" s="14">
        <v>45536</v>
      </c>
      <c r="M18" s="14">
        <v>45566</v>
      </c>
      <c r="N18" s="14">
        <v>45597</v>
      </c>
      <c r="O18" s="14">
        <v>45627</v>
      </c>
    </row>
    <row r="19" spans="2:15" x14ac:dyDescent="0.25">
      <c r="B19" s="13" t="s">
        <v>30</v>
      </c>
      <c r="C19" s="15">
        <f t="shared" ref="C19:C22" si="5">SUM(D19:O19)</f>
        <v>0</v>
      </c>
      <c r="D19" s="15">
        <f>SUM(D20:D21)</f>
        <v>0</v>
      </c>
      <c r="E19" s="15">
        <f t="shared" ref="E19:O19" si="6">SUM(E20:E21)</f>
        <v>0</v>
      </c>
      <c r="F19" s="15">
        <f t="shared" si="6"/>
        <v>0</v>
      </c>
      <c r="G19" s="15">
        <f t="shared" si="6"/>
        <v>0</v>
      </c>
      <c r="H19" s="15">
        <f t="shared" si="6"/>
        <v>0</v>
      </c>
      <c r="I19" s="15">
        <f t="shared" si="6"/>
        <v>0</v>
      </c>
      <c r="J19" s="15">
        <f t="shared" si="6"/>
        <v>0</v>
      </c>
      <c r="K19" s="15">
        <f t="shared" si="6"/>
        <v>0</v>
      </c>
      <c r="L19" s="15">
        <f t="shared" si="6"/>
        <v>0</v>
      </c>
      <c r="M19" s="15">
        <f t="shared" si="6"/>
        <v>0</v>
      </c>
      <c r="N19" s="15">
        <f t="shared" si="6"/>
        <v>0</v>
      </c>
      <c r="O19" s="15">
        <f t="shared" si="6"/>
        <v>0</v>
      </c>
    </row>
    <row r="20" spans="2:15" x14ac:dyDescent="0.25">
      <c r="B20" s="16" t="s">
        <v>16</v>
      </c>
      <c r="C20" s="17">
        <f t="shared" si="5"/>
        <v>0</v>
      </c>
      <c r="D20" s="18">
        <f>SUMIFS('Atendimentos à Receber'!$S:$S,'Atendimentos à Receber'!$V:$V,"&gt;="&amp;45658,'Atendimentos à Receber'!$V:$V,"&lt;="&amp;45688,'Atendimentos à Receber'!$E:$E,$B$3)-SUMIFS('Atendimentos à Receber'!$R:$R,'Atendimentos à Receber'!$V:$V,"&gt;="&amp;45658,'Atendimentos à Receber'!$V:$V,"&lt;="&amp;45688,'Atendimentos à Receber'!$E:$E,$B$3)</f>
        <v>0</v>
      </c>
      <c r="E20" s="18">
        <f>SUMIFS('Atendimentos à Receber'!$S:$S,'Atendimentos à Receber'!$V:$V,"&gt;="&amp;45689,'Atendimentos à Receber'!$V:$V,"&lt;="&amp;45716,'Atendimentos à Receber'!$E:$E,$B$3)-SUMIFS('Atendimentos à Receber'!$R:$R,'Atendimentos à Receber'!$V:$V,"&gt;="&amp;45689,'Atendimentos à Receber'!$V:$V,"&lt;="&amp;45716,'Atendimentos à Receber'!$E:$E,$B$3)</f>
        <v>0</v>
      </c>
      <c r="F20" s="18">
        <f>SUMIFS('Atendimentos à Receber'!$S:$S,'Atendimentos à Receber'!$V:$V,"&gt;="&amp;45717,'Atendimentos à Receber'!$V:$V,"&lt;="&amp;45748,'Atendimentos à Receber'!$E:$E,$B$3)-SUMIFS('Atendimentos à Receber'!$R:$R,'Atendimentos à Receber'!$V:$V,"&gt;="&amp;45717,'Atendimentos à Receber'!$V:$V,"&lt;="&amp;45748,'Atendimentos à Receber'!$E:$E,$B$3)</f>
        <v>0</v>
      </c>
      <c r="G20" s="18">
        <f>SUMIFS('Atendimentos à Receber'!$S:$S,'Atendimentos à Receber'!$V:$V,"&gt;="&amp;45748,'Atendimentos à Receber'!$V:$V,"&lt;="&amp;45777,'Atendimentos à Receber'!$E:$E,$B$3)-SUMIFS('Atendimentos à Receber'!$R:$R,'Atendimentos à Receber'!$V:$V,"&gt;="&amp;45748,'Atendimentos à Receber'!$V:$V,"&lt;="&amp;45777,'Atendimentos à Receber'!$E:$E,$B$3)</f>
        <v>0</v>
      </c>
      <c r="H20" s="18">
        <f>SUMIFS('Atendimentos à Receber'!$S:$S,'Atendimentos à Receber'!$V:$V,"&gt;="&amp;45778,'Atendimentos à Receber'!$V:$V,"&lt;="&amp;45808,'Atendimentos à Receber'!$E:$E,$B$3)-SUMIFS('Atendimentos à Receber'!$R:$R,'Atendimentos à Receber'!$V:$V,"&gt;="&amp;45778,'Atendimentos à Receber'!$V:$V,"&lt;="&amp;45808,'Atendimentos à Receber'!$E:$E,$B$3)</f>
        <v>0</v>
      </c>
      <c r="I20" s="18">
        <f>SUMIFS('Atendimentos à Receber'!$S:$S,'Atendimentos à Receber'!$V:$V,"&gt;="&amp;45809,'Atendimentos à Receber'!$V:$V,"&lt;="&amp;45838,'Atendimentos à Receber'!$E:$E,$B$3)-SUMIFS('Atendimentos à Receber'!$R:$R,'Atendimentos à Receber'!$V:$V,"&gt;="&amp;45809,'Atendimentos à Receber'!$V:$V,"&lt;="&amp;45838,'Atendimentos à Receber'!$E:$E,$B$3)</f>
        <v>0</v>
      </c>
      <c r="J20" s="18">
        <f>SUMIFS('Atendimentos à Receber'!$S:$S,'Atendimentos à Receber'!$V:$V,"&gt;="&amp;45839,'Atendimentos à Receber'!$V:$V,"&lt;="&amp;45869,'Atendimentos à Receber'!$E:$E,$B$3)-SUMIFS('Atendimentos à Receber'!$R:$R,'Atendimentos à Receber'!$V:$V,"&gt;="&amp;45839,'Atendimentos à Receber'!$V:$V,"&lt;="&amp;45869,'Atendimentos à Receber'!$E:$E,$B$3)</f>
        <v>0</v>
      </c>
      <c r="K20" s="18">
        <f>SUMIFS('Atendimentos à Receber'!$S:$S,'Atendimentos à Receber'!$V:$V,"&gt;="&amp;45870,'Atendimentos à Receber'!$V:$V,"&lt;="&amp;45900,'Atendimentos à Receber'!$E:$E,$B$3)-SUMIFS('Atendimentos à Receber'!$R:$R,'Atendimentos à Receber'!$V:$V,"&gt;="&amp;45870,'Atendimentos à Receber'!$V:$V,"&lt;="&amp;45900,'Atendimentos à Receber'!$E:$E,$B$3)</f>
        <v>0</v>
      </c>
      <c r="L20" s="18">
        <f>SUMIFS('Atendimentos à Receber'!$S:$S,'Atendimentos à Receber'!$V:$V,"&gt;="&amp;45901,'Atendimentos à Receber'!$V:$V,"&lt;="&amp;45930,'Atendimentos à Receber'!$E:$E,$B$3)-SUMIFS('Atendimentos à Receber'!$R:$R,'Atendimentos à Receber'!$V:$V,"&gt;="&amp;45901,'Atendimentos à Receber'!$V:$V,"&lt;="&amp;45930,'Atendimentos à Receber'!$E:$E,$B$3)</f>
        <v>0</v>
      </c>
      <c r="M20" s="18">
        <f>SUMIFS('Atendimentos à Receber'!$S:$S,'Atendimentos à Receber'!$V:$V,"&gt;="&amp;45931,'Atendimentos à Receber'!$V:$V,"&lt;="&amp;45961,'Atendimentos à Receber'!$E:$E,$B$3)-SUMIFS('Atendimentos à Receber'!$R:$R,'Atendimentos à Receber'!$V:$V,"&gt;="&amp;45931,'Atendimentos à Receber'!$V:$V,"&lt;="&amp;45961,'Atendimentos à Receber'!$E:$E,$B$3)</f>
        <v>0</v>
      </c>
      <c r="N20" s="18">
        <f>SUMIFS('Atendimentos à Receber'!$S:$S,'Atendimentos à Receber'!$V:$V,"&gt;="&amp;45962,'Atendimentos à Receber'!$V:$V,"&lt;="&amp;45991,'Atendimentos à Receber'!$E:$E,$B$3)-SUMIFS('Atendimentos à Receber'!$R:$R,'Atendimentos à Receber'!$V:$V,"&gt;="&amp;45962,'Atendimentos à Receber'!$V:$V,"&lt;="&amp;45991,'Atendimentos à Receber'!$E:$E,$B$3)</f>
        <v>0</v>
      </c>
      <c r="O20" s="18">
        <f>SUMIFS('Atendimentos à Receber'!$S:$S,'Atendimentos à Receber'!$V:$V,"&gt;="&amp;45992,'Atendimentos à Receber'!$V:$V,"&lt;="&amp;46022,'Atendimentos à Receber'!$E:$E,$B$3)-SUMIFS('Atendimentos à Receber'!$R:$R,'Atendimentos à Receber'!$V:$V,"&gt;="&amp;45992,'Atendimentos à Receber'!$V:$V,"&lt;="&amp;46022,'Atendimentos à Receber'!$E:$E,$B$3)</f>
        <v>0</v>
      </c>
    </row>
    <row r="21" spans="2:15" x14ac:dyDescent="0.25">
      <c r="B21" s="19" t="s">
        <v>17</v>
      </c>
      <c r="C21" s="20">
        <f t="shared" si="5"/>
        <v>0</v>
      </c>
      <c r="D21" s="21">
        <f>SUMIFS('Outras Contas à Receber'!$H:$H,'Outras Contas à Receber'!$I:$I,"&gt;="&amp;45658,'Outras Contas à Receber'!$I:$I,"&lt;="&amp;45688,'Outras Contas à Receber'!$B:$B,$B$3)-SUMIFS('Outras Contas à Receber'!$G:$G,'Outras Contas à Receber'!$I:$I,"&gt;="&amp;45658,'Outras Contas à Receber'!$I:$I,"&lt;="&amp;45688,'Outras Contas à Receber'!$B:$B,$B$3)</f>
        <v>0</v>
      </c>
      <c r="E21" s="21">
        <f>SUMIFS('Outras Contas à Receber'!$H:$H,'Outras Contas à Receber'!$I:$I,"&gt;="&amp;45689,'Outras Contas à Receber'!$I:$I,"&lt;="&amp;45716,'Outras Contas à Receber'!$B:$B,$B$3)-SUMIFS('Outras Contas à Receber'!$G:$G,'Outras Contas à Receber'!$I:$I,"&gt;="&amp;45689,'Outras Contas à Receber'!$I:$I,"&lt;="&amp;45716,'Outras Contas à Receber'!$B:$B,$B$3)</f>
        <v>0</v>
      </c>
      <c r="F21" s="21">
        <f>SUMIFS('Outras Contas à Receber'!$H:$H,'Outras Contas à Receber'!$I:$I,"&gt;="&amp;45717,'Outras Contas à Receber'!$I:$I,"&lt;="&amp;45747,'Outras Contas à Receber'!$B:$B,$B$3)-SUMIFS('Outras Contas à Receber'!$G:$G,'Outras Contas à Receber'!$I:$I,"&gt;="&amp;45717,'Outras Contas à Receber'!$I:$I,"&lt;="&amp;45747,'Outras Contas à Receber'!$B:$B,$B$3)</f>
        <v>0</v>
      </c>
      <c r="G21" s="21">
        <f>SUMIFS('Outras Contas à Receber'!$H:$H,'Outras Contas à Receber'!$I:$I,"&gt;="&amp;45748,'Outras Contas à Receber'!$I:$I,"&lt;="&amp;45777,'Outras Contas à Receber'!$B:$B,$B$3)-SUMIFS('Outras Contas à Receber'!$G:$G,'Outras Contas à Receber'!$I:$I,"&gt;="&amp;45748,'Outras Contas à Receber'!$I:$I,"&lt;="&amp;45777,'Outras Contas à Receber'!$B:$B,$B$3)</f>
        <v>0</v>
      </c>
      <c r="H21" s="21">
        <f>SUMIFS('Outras Contas à Receber'!$H:$H,'Outras Contas à Receber'!$I:$I,"&gt;="&amp;45778,'Outras Contas à Receber'!$I:$I,"&lt;="&amp;45808,'Outras Contas à Receber'!$B:$B,$B$3)-SUMIFS('Outras Contas à Receber'!$G:$G,'Outras Contas à Receber'!$I:$I,"&gt;="&amp;45778,'Outras Contas à Receber'!$I:$I,"&lt;="&amp;45808,'Outras Contas à Receber'!$B:$B,$B$3)</f>
        <v>0</v>
      </c>
      <c r="I21" s="21">
        <f>SUMIFS('Outras Contas à Receber'!$H:$H,'Outras Contas à Receber'!$I:$I,"&gt;="&amp;45809,'Outras Contas à Receber'!$I:$I,"&lt;="&amp;45838,'Outras Contas à Receber'!$B:$B,$B$3)-SUMIFS('Outras Contas à Receber'!$G:$G,'Outras Contas à Receber'!$I:$I,"&gt;="&amp;45809,'Outras Contas à Receber'!$I:$I,"&lt;="&amp;45838,'Outras Contas à Receber'!$B:$B,$B$3)</f>
        <v>0</v>
      </c>
      <c r="J21" s="21">
        <f>SUMIFS('Outras Contas à Receber'!$H:$H,'Outras Contas à Receber'!$I:$I,"&gt;="&amp;45839,'Outras Contas à Receber'!$I:$I,"&lt;="&amp;45869,'Outras Contas à Receber'!$B:$B,$B$3)-SUMIFS('Outras Contas à Receber'!$G:$G,'Outras Contas à Receber'!$I:$I,"&gt;="&amp;45839,'Outras Contas à Receber'!$I:$I,"&lt;="&amp;45869,'Outras Contas à Receber'!$B:$B,$B$3)</f>
        <v>0</v>
      </c>
      <c r="K21" s="21">
        <f>SUMIFS('Outras Contas à Receber'!$H:$H,'Outras Contas à Receber'!$I:$I,"&gt;="&amp;45870,'Outras Contas à Receber'!$I:$I,"&lt;="&amp;45900,'Outras Contas à Receber'!$B:$B,$B$3)-SUMIFS('Outras Contas à Receber'!$G:$G,'Outras Contas à Receber'!$I:$I,"&gt;="&amp;45870,'Outras Contas à Receber'!$I:$I,"&lt;="&amp;45900,'Outras Contas à Receber'!$B:$B,$B$3)</f>
        <v>0</v>
      </c>
      <c r="L21" s="21">
        <f>SUMIFS('Outras Contas à Receber'!$H:$H,'Outras Contas à Receber'!$I:$I,"&gt;="&amp;45901,'Outras Contas à Receber'!$I:$I,"&lt;="&amp;45930,'Outras Contas à Receber'!$B:$B,$B$3)-SUMIFS('Outras Contas à Receber'!$G:$G,'Outras Contas à Receber'!$I:$I,"&gt;="&amp;45901,'Outras Contas à Receber'!$I:$I,"&lt;="&amp;45930,'Outras Contas à Receber'!$B:$B,$B$3)</f>
        <v>0</v>
      </c>
      <c r="M21" s="21">
        <f>SUMIFS('Outras Contas à Receber'!$H:$H,'Outras Contas à Receber'!$I:$I,"&gt;="&amp;45931,'Outras Contas à Receber'!$I:$I,"&lt;="&amp;45961,'Outras Contas à Receber'!$B:$B,$B$3)-SUMIFS('Outras Contas à Receber'!$G:$G,'Outras Contas à Receber'!$I:$I,"&gt;="&amp;45931,'Outras Contas à Receber'!$I:$I,"&lt;="&amp;45961,'Outras Contas à Receber'!$B:$B,$B$3)</f>
        <v>0</v>
      </c>
      <c r="N21" s="21">
        <f>SUMIFS('Outras Contas à Receber'!$H:$H,'Outras Contas à Receber'!$I:$I,"&gt;="&amp;45962,'Outras Contas à Receber'!$I:$I,"&lt;="&amp;45991,'Outras Contas à Receber'!$B:$B,$B$3)-SUMIFS('Outras Contas à Receber'!$G:$G,'Outras Contas à Receber'!$I:$I,"&gt;="&amp;45962,'Outras Contas à Receber'!$I:$I,"&lt;="&amp;45991,'Outras Contas à Receber'!$B:$B,$B$3)</f>
        <v>0</v>
      </c>
      <c r="O21" s="21">
        <f>SUMIFS('Outras Contas à Receber'!$H:$H,'Outras Contas à Receber'!$I:$I,"&gt;="&amp;45992,'Outras Contas à Receber'!$I:$I,"&lt;="&amp;46022,'Outras Contas à Receber'!$B:$B,$B$3)-SUMIFS('Outras Contas à Receber'!$G:$G,'Outras Contas à Receber'!$I:$I,"&gt;="&amp;45992,'Outras Contas à Receber'!$I:$I,"&lt;="&amp;46022,'Outras Contas à Receber'!$B:$B,$B$3)</f>
        <v>0</v>
      </c>
    </row>
    <row r="22" spans="2:15" x14ac:dyDescent="0.25">
      <c r="B22" s="13" t="s">
        <v>31</v>
      </c>
      <c r="C22" s="15">
        <f t="shared" si="5"/>
        <v>0</v>
      </c>
      <c r="D22" s="15">
        <f>SUM(D23:D24)</f>
        <v>0</v>
      </c>
      <c r="E22" s="15">
        <f t="shared" ref="E22:O22" si="7">SUM(E23:E24)</f>
        <v>0</v>
      </c>
      <c r="F22" s="15">
        <f t="shared" si="7"/>
        <v>0</v>
      </c>
      <c r="G22" s="15">
        <f t="shared" si="7"/>
        <v>0</v>
      </c>
      <c r="H22" s="15">
        <f t="shared" si="7"/>
        <v>0</v>
      </c>
      <c r="I22" s="15">
        <f t="shared" si="7"/>
        <v>0</v>
      </c>
      <c r="J22" s="15">
        <f t="shared" si="7"/>
        <v>0</v>
      </c>
      <c r="K22" s="15">
        <f t="shared" si="7"/>
        <v>0</v>
      </c>
      <c r="L22" s="15">
        <f t="shared" si="7"/>
        <v>0</v>
      </c>
      <c r="M22" s="15">
        <f t="shared" si="7"/>
        <v>0</v>
      </c>
      <c r="N22" s="15">
        <f t="shared" si="7"/>
        <v>0</v>
      </c>
      <c r="O22" s="15">
        <f t="shared" si="7"/>
        <v>0</v>
      </c>
    </row>
    <row r="23" spans="2:15" x14ac:dyDescent="0.25">
      <c r="B23" s="16" t="s">
        <v>18</v>
      </c>
      <c r="C23" s="17">
        <f>SUM(D23:O23)</f>
        <v>0</v>
      </c>
      <c r="D23" s="22">
        <f>-SUMIFS('Contas à Pagar'!$G:$G,'Contas à Pagar'!$H:$H,"&gt;="&amp;45658,'Contas à Pagar'!$H:$H,"&lt;="&amp;45688,'Contas à Pagar'!B:B,"Conta da clínica",'Contas à Pagar'!E:E,"Em Aberto",'Contas à Pagar'!B:B,$B$3)</f>
        <v>0</v>
      </c>
      <c r="E23" s="22">
        <f>-SUMIFS('Contas à Pagar'!$G:$G,'Contas à Pagar'!$H:$H,"&gt;="&amp;45689,'Contas à Pagar'!$H:$H,"&lt;="&amp;45716,'Contas à Pagar'!B:B,"Conta da clínica",'Contas à Pagar'!E:E,"Em Aberto",'Contas à Pagar'!B:B,$B$3)</f>
        <v>0</v>
      </c>
      <c r="F23" s="22">
        <f>-SUMIFS('Contas à Pagar'!$G:$G,'Contas à Pagar'!$H:$H,"&gt;="&amp;45717,'Contas à Pagar'!$H:$H,"&lt;="&amp;45747,'Contas à Pagar'!B:B,"Conta da clínica",'Contas à Pagar'!E:E,"Em Aberto",'Contas à Pagar'!B:B,$B$3)</f>
        <v>0</v>
      </c>
      <c r="G23" s="22">
        <f>-SUMIFS('Contas à Pagar'!$G:$G,'Contas à Pagar'!$H:$H,"&gt;="&amp;45748,'Contas à Pagar'!$H:$H,"&lt;="&amp;45777,'Contas à Pagar'!B:B,"Conta da clínica",'Contas à Pagar'!E:E,"Em Aberto",'Contas à Pagar'!B:B,$B$3)</f>
        <v>0</v>
      </c>
      <c r="H23" s="22">
        <f>-SUMIFS('Contas à Pagar'!$G:$G,'Contas à Pagar'!$H:$H,"&gt;="&amp;45778,'Contas à Pagar'!$H:$H,"&lt;="&amp;45808,'Contas à Pagar'!B:B,"Conta da clínica",'Contas à Pagar'!E:E,"Em Aberto",'Contas à Pagar'!B:B,$B$3)</f>
        <v>0</v>
      </c>
      <c r="I23" s="22">
        <f>-SUMIFS('Contas à Pagar'!$G:$G,'Contas à Pagar'!$H:$H,"&gt;="&amp;45809,'Contas à Pagar'!$H:$H,"&lt;="&amp;45838,'Contas à Pagar'!B:B,"Conta da clínica",'Contas à Pagar'!E:E,"Em Aberto",'Contas à Pagar'!B:B,$B$3)</f>
        <v>0</v>
      </c>
      <c r="J23" s="22">
        <f>-SUMIFS('Contas à Pagar'!$G:$G,'Contas à Pagar'!$H:$H,"&gt;="&amp;45839,'Contas à Pagar'!$H:$H,"&lt;="&amp;45869,'Contas à Pagar'!B:B,"Conta da clínica",'Contas à Pagar'!E:E,"Em Aberto",'Contas à Pagar'!B:B,$B$3)</f>
        <v>0</v>
      </c>
      <c r="K23" s="22">
        <f>-SUMIFS('Contas à Pagar'!$G:$G,'Contas à Pagar'!$H:$H,"&gt;="&amp;45870,'Contas à Pagar'!$H:$H,"&lt;="&amp;45900,'Contas à Pagar'!B:B,"Conta da clínica",'Contas à Pagar'!E:E,"Em Aberto",'Contas à Pagar'!B:B,$B$3)</f>
        <v>0</v>
      </c>
      <c r="L23" s="22">
        <f>-SUMIFS('Contas à Pagar'!$G:$G,'Contas à Pagar'!$H:$H,"&gt;="&amp;45901,'Contas à Pagar'!$H:$H,"&lt;="&amp;45930,'Contas à Pagar'!B:B,"Conta da clínica",'Contas à Pagar'!E:E,"Em Aberto",'Contas à Pagar'!B:B,$B$3)</f>
        <v>0</v>
      </c>
      <c r="M23" s="22">
        <f>-SUMIFS('Contas à Pagar'!$G:$G,'Contas à Pagar'!$H:$H,"&gt;="&amp;45931,'Contas à Pagar'!$H:$H,"&lt;="&amp;45961,'Contas à Pagar'!B:B,"Conta da clínica",'Contas à Pagar'!E:E,"Em Aberto",'Contas à Pagar'!B:B,$B$3)</f>
        <v>0</v>
      </c>
      <c r="N23" s="22">
        <f>-SUMIFS('Contas à Pagar'!$G:$G,'Contas à Pagar'!$H:$H,"&gt;="&amp;45962,'Contas à Pagar'!$H:$H,"&lt;="&amp;45991,'Contas à Pagar'!B:B,"Conta da clínica",'Contas à Pagar'!E:E,"Em Aberto",'Contas à Pagar'!B:B,$B$3)</f>
        <v>0</v>
      </c>
      <c r="O23" s="22">
        <f>-SUMIFS('Contas à Pagar'!$G:$G,'Contas à Pagar'!$H:$H,"&gt;="&amp;45992,'Contas à Pagar'!$H:$H,"&lt;="&amp;46022,'Contas à Pagar'!B:B,"Conta da clínica",'Contas à Pagar'!E:E,"Em Aberto",'Contas à Pagar'!B:B,$B$3)</f>
        <v>0</v>
      </c>
    </row>
    <row r="24" spans="2:15" x14ac:dyDescent="0.25">
      <c r="B24" s="19" t="s">
        <v>28</v>
      </c>
      <c r="C24" s="20">
        <f>SUM(D24:O24)</f>
        <v>0</v>
      </c>
      <c r="D24" s="21">
        <f>-SUMIFS('Atendimentos à Receber'!$U:$U,'Atendimentos à Receber'!$V:$V,"&gt;="&amp;45658,'Atendimentos à Receber'!$V:$V,"&lt;="&amp;45688,'Atendimentos à Receber'!$E:$E,$B$3)</f>
        <v>0</v>
      </c>
      <c r="E24" s="21">
        <f>-SUMIFS('Atendimentos à Receber'!$U:$U,'Atendimentos à Receber'!$V:$V,"&gt;="&amp;45689,'Atendimentos à Receber'!$V:$V,"&lt;="&amp;45716,'Atendimentos à Receber'!$E:$E,$B$3)</f>
        <v>0</v>
      </c>
      <c r="F24" s="21">
        <f>-SUMIFS('Atendimentos à Receber'!$U:$U,'Atendimentos à Receber'!$V:$V,"&gt;="&amp;45717,'Atendimentos à Receber'!$V:$V,"&lt;="&amp;45748,'Atendimentos à Receber'!$E:$E,$B$3)</f>
        <v>0</v>
      </c>
      <c r="G24" s="21">
        <f>-SUMIFS('Atendimentos à Receber'!$U:$U,'Atendimentos à Receber'!$V:$V,"&gt;="&amp;45748,'Atendimentos à Receber'!$V:$V,"&lt;="&amp;45777,'Atendimentos à Receber'!$E:$E,$B$3)</f>
        <v>0</v>
      </c>
      <c r="H24" s="21">
        <f>-SUMIFS('Atendimentos à Receber'!$U:$U,'Atendimentos à Receber'!$V:$V,"&gt;="&amp;45778,'Atendimentos à Receber'!$V:$V,"&lt;="&amp;45808,'Atendimentos à Receber'!$E:$E,$B$3)</f>
        <v>0</v>
      </c>
      <c r="I24" s="21">
        <f>-SUMIFS('Atendimentos à Receber'!$U:$U,'Atendimentos à Receber'!$V:$V,"&gt;="&amp;45809,'Atendimentos à Receber'!$V:$V,"&lt;="&amp;45838,'Atendimentos à Receber'!$E:$E,$B$3)</f>
        <v>0</v>
      </c>
      <c r="J24" s="21">
        <f>-SUMIFS('Atendimentos à Receber'!$U:$U,'Atendimentos à Receber'!$V:$V,"&gt;="&amp;45839,'Atendimentos à Receber'!$V:$V,"&lt;="&amp;45869,'Atendimentos à Receber'!$E:$E,$B$3)</f>
        <v>0</v>
      </c>
      <c r="K24" s="21">
        <f>-SUMIFS('Atendimentos à Receber'!$U:$U,'Atendimentos à Receber'!$V:$V,"&gt;="&amp;45870,'Atendimentos à Receber'!$V:$V,"&lt;="&amp;45900,'Atendimentos à Receber'!$E:$E,$B$3)</f>
        <v>0</v>
      </c>
      <c r="L24" s="21">
        <f>-SUMIFS('Atendimentos à Receber'!$U:$U,'Atendimentos à Receber'!$V:$V,"&gt;="&amp;45901,'Atendimentos à Receber'!$V:$V,"&lt;="&amp;45930,'Atendimentos à Receber'!$E:$E,$B$3)</f>
        <v>0</v>
      </c>
      <c r="M24" s="21">
        <f>-SUMIFS('Atendimentos à Receber'!$U:$U,'Atendimentos à Receber'!$V:$V,"&gt;="&amp;45931,'Atendimentos à Receber'!$V:$V,"&lt;="&amp;45961,'Atendimentos à Receber'!$E:$E,$B$3)</f>
        <v>0</v>
      </c>
      <c r="N24" s="21">
        <f>-SUMIFS('Atendimentos à Receber'!$U:$U,'Atendimentos à Receber'!$V:$V,"&gt;="&amp;45962,'Atendimentos à Receber'!$V:$V,"&lt;="&amp;45991,'Atendimentos à Receber'!$E:$E,$B$3)</f>
        <v>0</v>
      </c>
      <c r="O24" s="21">
        <f>-SUMIFS('Atendimentos à Receber'!$U:$U,'Atendimentos à Receber'!$V:$V,"&gt;="&amp;45992,'Atendimentos à Receber'!$V:$V,"&lt;="&amp;46022,'Atendimentos à Receber'!$E:$E,$B$3)</f>
        <v>0</v>
      </c>
    </row>
    <row r="25" spans="2:15" x14ac:dyDescent="0.25">
      <c r="B25" s="13" t="s">
        <v>32</v>
      </c>
      <c r="C25" s="15">
        <f>SUM(D25:O25)</f>
        <v>0</v>
      </c>
      <c r="D25" s="15">
        <f>D19+D22</f>
        <v>0</v>
      </c>
      <c r="E25" s="15">
        <f t="shared" ref="E25:O25" si="8">E19+E22</f>
        <v>0</v>
      </c>
      <c r="F25" s="15">
        <f t="shared" si="8"/>
        <v>0</v>
      </c>
      <c r="G25" s="15">
        <f t="shared" si="8"/>
        <v>0</v>
      </c>
      <c r="H25" s="15">
        <f t="shared" si="8"/>
        <v>0</v>
      </c>
      <c r="I25" s="15">
        <f t="shared" si="8"/>
        <v>0</v>
      </c>
      <c r="J25" s="15">
        <f t="shared" si="8"/>
        <v>0</v>
      </c>
      <c r="K25" s="15">
        <f t="shared" si="8"/>
        <v>0</v>
      </c>
      <c r="L25" s="15">
        <f t="shared" si="8"/>
        <v>0</v>
      </c>
      <c r="M25" s="15">
        <f t="shared" si="8"/>
        <v>0</v>
      </c>
      <c r="N25" s="15">
        <f t="shared" si="8"/>
        <v>0</v>
      </c>
      <c r="O25" s="15">
        <f t="shared" si="8"/>
        <v>0</v>
      </c>
    </row>
    <row r="27" spans="2:15" x14ac:dyDescent="0.25">
      <c r="D27" s="27"/>
    </row>
  </sheetData>
  <mergeCells count="2">
    <mergeCell ref="B1:O1"/>
    <mergeCell ref="B16:O16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01"/>
  <sheetViews>
    <sheetView topLeftCell="I1" workbookViewId="0">
      <selection activeCell="A2" sqref="A2"/>
    </sheetView>
  </sheetViews>
  <sheetFormatPr defaultColWidth="8.85546875" defaultRowHeight="15" x14ac:dyDescent="0.25"/>
  <cols>
    <col min="1" max="1" width="21.85546875" bestFit="1" customWidth="1"/>
    <col min="2" max="2" width="13.7109375" bestFit="1" customWidth="1"/>
    <col min="3" max="3" width="11.85546875" bestFit="1" customWidth="1"/>
    <col min="4" max="4" width="15.28515625" bestFit="1" customWidth="1"/>
    <col min="5" max="5" width="14.140625" bestFit="1" customWidth="1"/>
    <col min="6" max="6" width="14.7109375" bestFit="1" customWidth="1"/>
    <col min="7" max="7" width="16.28515625" bestFit="1" customWidth="1"/>
    <col min="8" max="8" width="5.42578125" bestFit="1" customWidth="1"/>
    <col min="9" max="9" width="43.140625" bestFit="1" customWidth="1"/>
    <col min="10" max="10" width="17" bestFit="1" customWidth="1"/>
    <col min="11" max="11" width="10" bestFit="1" customWidth="1"/>
    <col min="12" max="12" width="10.140625" bestFit="1" customWidth="1"/>
    <col min="13" max="13" width="7.42578125" bestFit="1" customWidth="1"/>
    <col min="14" max="14" width="9.7109375" bestFit="1" customWidth="1"/>
    <col min="15" max="15" width="15.7109375" bestFit="1" customWidth="1"/>
    <col min="16" max="16" width="21.42578125" bestFit="1" customWidth="1"/>
    <col min="17" max="17" width="22.28515625" bestFit="1" customWidth="1"/>
    <col min="18" max="18" width="9.140625" bestFit="1" customWidth="1"/>
    <col min="19" max="19" width="9.28515625" bestFit="1" customWidth="1"/>
    <col min="20" max="20" width="12.28515625" customWidth="1"/>
    <col min="21" max="21" width="14.85546875" bestFit="1" customWidth="1"/>
    <col min="22" max="22" width="20" style="4" bestFit="1" customWidth="1"/>
    <col min="23" max="23" width="2.140625" bestFit="1" customWidth="1"/>
    <col min="24" max="24" width="3.140625" bestFit="1" customWidth="1"/>
  </cols>
  <sheetData>
    <row r="1" spans="1:22" s="41" customFormat="1" x14ac:dyDescent="0.25">
      <c r="A1" s="41" t="s">
        <v>0</v>
      </c>
      <c r="B1" s="41" t="s">
        <v>41</v>
      </c>
      <c r="C1" s="41" t="s">
        <v>1</v>
      </c>
      <c r="D1" s="41" t="s">
        <v>2</v>
      </c>
      <c r="E1" s="41" t="s">
        <v>3</v>
      </c>
      <c r="F1" s="41" t="s">
        <v>42</v>
      </c>
      <c r="G1" s="41" t="s">
        <v>48</v>
      </c>
      <c r="H1" s="41" t="s">
        <v>4</v>
      </c>
      <c r="I1" s="41" t="s">
        <v>5</v>
      </c>
      <c r="J1" s="41" t="s">
        <v>6</v>
      </c>
      <c r="K1" s="41" t="s">
        <v>7</v>
      </c>
      <c r="L1" s="41" t="s">
        <v>8</v>
      </c>
      <c r="M1" s="41" t="s">
        <v>43</v>
      </c>
      <c r="N1" s="41" t="s">
        <v>9</v>
      </c>
      <c r="O1" s="41" t="s">
        <v>49</v>
      </c>
      <c r="P1" s="41" t="s">
        <v>44</v>
      </c>
      <c r="Q1" s="41" t="s">
        <v>45</v>
      </c>
      <c r="R1" s="41" t="s">
        <v>14</v>
      </c>
      <c r="S1" s="41" t="s">
        <v>46</v>
      </c>
      <c r="T1" s="41" t="s">
        <v>11</v>
      </c>
      <c r="U1" s="41" t="s">
        <v>12</v>
      </c>
      <c r="V1" s="42" t="s">
        <v>21</v>
      </c>
    </row>
    <row r="2" spans="1:22" x14ac:dyDescent="0.25">
      <c r="V2" s="6" t="str">
        <f t="shared" ref="V2:V10" si="0">IFERROR(DATEVALUE(D2),"")</f>
        <v/>
      </c>
    </row>
    <row r="3" spans="1:22" x14ac:dyDescent="0.25">
      <c r="V3" s="6" t="str">
        <f t="shared" si="0"/>
        <v/>
      </c>
    </row>
    <row r="4" spans="1:22" x14ac:dyDescent="0.25">
      <c r="V4" s="6" t="str">
        <f t="shared" si="0"/>
        <v/>
      </c>
    </row>
    <row r="5" spans="1:22" x14ac:dyDescent="0.25">
      <c r="V5" s="6" t="str">
        <f t="shared" si="0"/>
        <v/>
      </c>
    </row>
    <row r="6" spans="1:22" x14ac:dyDescent="0.25">
      <c r="V6" s="6" t="str">
        <f t="shared" si="0"/>
        <v/>
      </c>
    </row>
    <row r="7" spans="1:22" x14ac:dyDescent="0.25">
      <c r="V7" s="6" t="str">
        <f t="shared" si="0"/>
        <v/>
      </c>
    </row>
    <row r="8" spans="1:22" x14ac:dyDescent="0.25">
      <c r="V8" s="6" t="str">
        <f t="shared" si="0"/>
        <v/>
      </c>
    </row>
    <row r="9" spans="1:22" x14ac:dyDescent="0.25">
      <c r="V9" s="6" t="str">
        <f t="shared" si="0"/>
        <v/>
      </c>
    </row>
    <row r="10" spans="1:22" x14ac:dyDescent="0.25">
      <c r="V10" s="6" t="str">
        <f t="shared" si="0"/>
        <v/>
      </c>
    </row>
    <row r="11" spans="1:22" x14ac:dyDescent="0.25">
      <c r="V11" s="6" t="str">
        <f t="shared" ref="V11:V42" si="1">IFERROR(DATEVALUE(D11),"")</f>
        <v/>
      </c>
    </row>
    <row r="12" spans="1:22" x14ac:dyDescent="0.25">
      <c r="V12" s="6" t="str">
        <f t="shared" si="1"/>
        <v/>
      </c>
    </row>
    <row r="13" spans="1:22" x14ac:dyDescent="0.25">
      <c r="V13" s="6" t="str">
        <f t="shared" si="1"/>
        <v/>
      </c>
    </row>
    <row r="14" spans="1:22" x14ac:dyDescent="0.25">
      <c r="V14" s="6" t="str">
        <f t="shared" si="1"/>
        <v/>
      </c>
    </row>
    <row r="15" spans="1:22" x14ac:dyDescent="0.25">
      <c r="V15" s="6" t="str">
        <f t="shared" si="1"/>
        <v/>
      </c>
    </row>
    <row r="16" spans="1:22" x14ac:dyDescent="0.25">
      <c r="V16" s="6" t="str">
        <f t="shared" si="1"/>
        <v/>
      </c>
    </row>
    <row r="17" spans="22:22" x14ac:dyDescent="0.25">
      <c r="V17" s="6" t="str">
        <f t="shared" si="1"/>
        <v/>
      </c>
    </row>
    <row r="18" spans="22:22" x14ac:dyDescent="0.25">
      <c r="V18" s="6" t="str">
        <f t="shared" si="1"/>
        <v/>
      </c>
    </row>
    <row r="19" spans="22:22" x14ac:dyDescent="0.25">
      <c r="V19" s="6" t="str">
        <f t="shared" si="1"/>
        <v/>
      </c>
    </row>
    <row r="20" spans="22:22" x14ac:dyDescent="0.25">
      <c r="V20" s="6" t="str">
        <f t="shared" si="1"/>
        <v/>
      </c>
    </row>
    <row r="21" spans="22:22" x14ac:dyDescent="0.25">
      <c r="V21" s="6" t="str">
        <f t="shared" si="1"/>
        <v/>
      </c>
    </row>
    <row r="22" spans="22:22" x14ac:dyDescent="0.25">
      <c r="V22" s="6" t="str">
        <f t="shared" si="1"/>
        <v/>
      </c>
    </row>
    <row r="23" spans="22:22" x14ac:dyDescent="0.25">
      <c r="V23" s="6" t="str">
        <f t="shared" si="1"/>
        <v/>
      </c>
    </row>
    <row r="24" spans="22:22" x14ac:dyDescent="0.25">
      <c r="V24" s="6" t="str">
        <f t="shared" si="1"/>
        <v/>
      </c>
    </row>
    <row r="25" spans="22:22" x14ac:dyDescent="0.25">
      <c r="V25" s="6" t="str">
        <f t="shared" si="1"/>
        <v/>
      </c>
    </row>
    <row r="26" spans="22:22" x14ac:dyDescent="0.25">
      <c r="V26" s="6" t="str">
        <f t="shared" si="1"/>
        <v/>
      </c>
    </row>
    <row r="27" spans="22:22" x14ac:dyDescent="0.25">
      <c r="V27" s="6" t="str">
        <f t="shared" si="1"/>
        <v/>
      </c>
    </row>
    <row r="28" spans="22:22" x14ac:dyDescent="0.25">
      <c r="V28" s="6" t="str">
        <f t="shared" si="1"/>
        <v/>
      </c>
    </row>
    <row r="29" spans="22:22" x14ac:dyDescent="0.25">
      <c r="V29" s="6" t="str">
        <f t="shared" si="1"/>
        <v/>
      </c>
    </row>
    <row r="30" spans="22:22" x14ac:dyDescent="0.25">
      <c r="V30" s="6" t="str">
        <f t="shared" si="1"/>
        <v/>
      </c>
    </row>
    <row r="31" spans="22:22" x14ac:dyDescent="0.25">
      <c r="V31" s="6" t="str">
        <f t="shared" si="1"/>
        <v/>
      </c>
    </row>
    <row r="32" spans="22:22" x14ac:dyDescent="0.25">
      <c r="V32" s="6" t="str">
        <f t="shared" si="1"/>
        <v/>
      </c>
    </row>
    <row r="33" spans="22:22" x14ac:dyDescent="0.25">
      <c r="V33" s="6" t="str">
        <f t="shared" si="1"/>
        <v/>
      </c>
    </row>
    <row r="34" spans="22:22" x14ac:dyDescent="0.25">
      <c r="V34" s="6" t="str">
        <f t="shared" si="1"/>
        <v/>
      </c>
    </row>
    <row r="35" spans="22:22" x14ac:dyDescent="0.25">
      <c r="V35" s="6" t="str">
        <f t="shared" si="1"/>
        <v/>
      </c>
    </row>
    <row r="36" spans="22:22" x14ac:dyDescent="0.25">
      <c r="V36" s="6" t="str">
        <f t="shared" si="1"/>
        <v/>
      </c>
    </row>
    <row r="37" spans="22:22" x14ac:dyDescent="0.25">
      <c r="V37" s="6" t="str">
        <f t="shared" si="1"/>
        <v/>
      </c>
    </row>
    <row r="38" spans="22:22" x14ac:dyDescent="0.25">
      <c r="V38" s="6" t="str">
        <f t="shared" si="1"/>
        <v/>
      </c>
    </row>
    <row r="39" spans="22:22" x14ac:dyDescent="0.25">
      <c r="V39" s="6" t="str">
        <f t="shared" si="1"/>
        <v/>
      </c>
    </row>
    <row r="40" spans="22:22" x14ac:dyDescent="0.25">
      <c r="V40" s="6" t="str">
        <f t="shared" si="1"/>
        <v/>
      </c>
    </row>
    <row r="41" spans="22:22" x14ac:dyDescent="0.25">
      <c r="V41" s="6" t="str">
        <f t="shared" si="1"/>
        <v/>
      </c>
    </row>
    <row r="42" spans="22:22" x14ac:dyDescent="0.25">
      <c r="V42" s="6" t="str">
        <f t="shared" si="1"/>
        <v/>
      </c>
    </row>
    <row r="43" spans="22:22" x14ac:dyDescent="0.25">
      <c r="V43" s="6" t="str">
        <f t="shared" ref="V43:V66" si="2">IFERROR(DATEVALUE(D43),"")</f>
        <v/>
      </c>
    </row>
    <row r="44" spans="22:22" x14ac:dyDescent="0.25">
      <c r="V44" s="6" t="str">
        <f t="shared" si="2"/>
        <v/>
      </c>
    </row>
    <row r="45" spans="22:22" x14ac:dyDescent="0.25">
      <c r="V45" s="6" t="str">
        <f t="shared" si="2"/>
        <v/>
      </c>
    </row>
    <row r="46" spans="22:22" x14ac:dyDescent="0.25">
      <c r="V46" s="6" t="str">
        <f t="shared" si="2"/>
        <v/>
      </c>
    </row>
    <row r="47" spans="22:22" x14ac:dyDescent="0.25">
      <c r="V47" s="6" t="str">
        <f t="shared" si="2"/>
        <v/>
      </c>
    </row>
    <row r="48" spans="22:22" x14ac:dyDescent="0.25">
      <c r="V48" s="6" t="str">
        <f t="shared" si="2"/>
        <v/>
      </c>
    </row>
    <row r="49" spans="22:22" x14ac:dyDescent="0.25">
      <c r="V49" s="6" t="str">
        <f t="shared" si="2"/>
        <v/>
      </c>
    </row>
    <row r="50" spans="22:22" x14ac:dyDescent="0.25">
      <c r="V50" s="6" t="str">
        <f t="shared" si="2"/>
        <v/>
      </c>
    </row>
    <row r="51" spans="22:22" x14ac:dyDescent="0.25">
      <c r="V51" s="6" t="str">
        <f t="shared" si="2"/>
        <v/>
      </c>
    </row>
    <row r="52" spans="22:22" x14ac:dyDescent="0.25">
      <c r="V52" s="6" t="str">
        <f t="shared" si="2"/>
        <v/>
      </c>
    </row>
    <row r="53" spans="22:22" x14ac:dyDescent="0.25">
      <c r="V53" s="6" t="str">
        <f t="shared" si="2"/>
        <v/>
      </c>
    </row>
    <row r="54" spans="22:22" x14ac:dyDescent="0.25">
      <c r="V54" s="6" t="str">
        <f t="shared" si="2"/>
        <v/>
      </c>
    </row>
    <row r="55" spans="22:22" x14ac:dyDescent="0.25">
      <c r="V55" s="6" t="str">
        <f t="shared" si="2"/>
        <v/>
      </c>
    </row>
    <row r="56" spans="22:22" x14ac:dyDescent="0.25">
      <c r="V56" s="6" t="str">
        <f t="shared" si="2"/>
        <v/>
      </c>
    </row>
    <row r="57" spans="22:22" x14ac:dyDescent="0.25">
      <c r="V57" s="6" t="str">
        <f t="shared" si="2"/>
        <v/>
      </c>
    </row>
    <row r="58" spans="22:22" x14ac:dyDescent="0.25">
      <c r="V58" s="6" t="str">
        <f t="shared" si="2"/>
        <v/>
      </c>
    </row>
    <row r="59" spans="22:22" x14ac:dyDescent="0.25">
      <c r="V59" s="6" t="str">
        <f t="shared" si="2"/>
        <v/>
      </c>
    </row>
    <row r="60" spans="22:22" x14ac:dyDescent="0.25">
      <c r="V60" s="6" t="str">
        <f t="shared" si="2"/>
        <v/>
      </c>
    </row>
    <row r="61" spans="22:22" x14ac:dyDescent="0.25">
      <c r="V61" s="6" t="str">
        <f t="shared" si="2"/>
        <v/>
      </c>
    </row>
    <row r="62" spans="22:22" x14ac:dyDescent="0.25">
      <c r="V62" s="6" t="str">
        <f t="shared" si="2"/>
        <v/>
      </c>
    </row>
    <row r="63" spans="22:22" x14ac:dyDescent="0.25">
      <c r="V63" s="6" t="str">
        <f t="shared" si="2"/>
        <v/>
      </c>
    </row>
    <row r="64" spans="22:22" x14ac:dyDescent="0.25">
      <c r="V64" s="6" t="str">
        <f t="shared" si="2"/>
        <v/>
      </c>
    </row>
    <row r="65" spans="22:22" x14ac:dyDescent="0.25">
      <c r="V65" s="6" t="str">
        <f t="shared" si="2"/>
        <v/>
      </c>
    </row>
    <row r="66" spans="22:22" x14ac:dyDescent="0.25">
      <c r="V66" s="6" t="str">
        <f t="shared" si="2"/>
        <v/>
      </c>
    </row>
    <row r="67" spans="22:22" x14ac:dyDescent="0.25">
      <c r="V67" s="6" t="str">
        <f t="shared" ref="V67:V130" si="3">IFERROR(DATEVALUE(D67),"")</f>
        <v/>
      </c>
    </row>
    <row r="68" spans="22:22" x14ac:dyDescent="0.25">
      <c r="V68" s="6" t="str">
        <f t="shared" si="3"/>
        <v/>
      </c>
    </row>
    <row r="69" spans="22:22" x14ac:dyDescent="0.25">
      <c r="V69" s="6" t="str">
        <f t="shared" si="3"/>
        <v/>
      </c>
    </row>
    <row r="70" spans="22:22" x14ac:dyDescent="0.25">
      <c r="V70" s="6" t="str">
        <f t="shared" si="3"/>
        <v/>
      </c>
    </row>
    <row r="71" spans="22:22" x14ac:dyDescent="0.25">
      <c r="V71" s="6" t="str">
        <f t="shared" si="3"/>
        <v/>
      </c>
    </row>
    <row r="72" spans="22:22" x14ac:dyDescent="0.25">
      <c r="V72" s="6" t="str">
        <f t="shared" si="3"/>
        <v/>
      </c>
    </row>
    <row r="73" spans="22:22" x14ac:dyDescent="0.25">
      <c r="V73" s="6" t="str">
        <f t="shared" si="3"/>
        <v/>
      </c>
    </row>
    <row r="74" spans="22:22" x14ac:dyDescent="0.25">
      <c r="V74" s="6" t="str">
        <f t="shared" si="3"/>
        <v/>
      </c>
    </row>
    <row r="75" spans="22:22" x14ac:dyDescent="0.25">
      <c r="V75" s="6" t="str">
        <f t="shared" si="3"/>
        <v/>
      </c>
    </row>
    <row r="76" spans="22:22" x14ac:dyDescent="0.25">
      <c r="V76" s="6" t="str">
        <f t="shared" si="3"/>
        <v/>
      </c>
    </row>
    <row r="77" spans="22:22" x14ac:dyDescent="0.25">
      <c r="V77" s="6" t="str">
        <f t="shared" si="3"/>
        <v/>
      </c>
    </row>
    <row r="78" spans="22:22" x14ac:dyDescent="0.25">
      <c r="V78" s="6" t="str">
        <f t="shared" si="3"/>
        <v/>
      </c>
    </row>
    <row r="79" spans="22:22" x14ac:dyDescent="0.25">
      <c r="V79" s="6" t="str">
        <f t="shared" si="3"/>
        <v/>
      </c>
    </row>
    <row r="80" spans="22:22" x14ac:dyDescent="0.25">
      <c r="V80" s="6" t="str">
        <f t="shared" si="3"/>
        <v/>
      </c>
    </row>
    <row r="81" spans="22:22" x14ac:dyDescent="0.25">
      <c r="V81" s="6" t="str">
        <f t="shared" si="3"/>
        <v/>
      </c>
    </row>
    <row r="82" spans="22:22" x14ac:dyDescent="0.25">
      <c r="V82" s="6" t="str">
        <f t="shared" si="3"/>
        <v/>
      </c>
    </row>
    <row r="83" spans="22:22" x14ac:dyDescent="0.25">
      <c r="V83" s="6" t="str">
        <f t="shared" si="3"/>
        <v/>
      </c>
    </row>
    <row r="84" spans="22:22" x14ac:dyDescent="0.25">
      <c r="V84" s="6" t="str">
        <f t="shared" si="3"/>
        <v/>
      </c>
    </row>
    <row r="85" spans="22:22" x14ac:dyDescent="0.25">
      <c r="V85" s="6" t="str">
        <f t="shared" si="3"/>
        <v/>
      </c>
    </row>
    <row r="86" spans="22:22" x14ac:dyDescent="0.25">
      <c r="V86" s="6" t="str">
        <f t="shared" si="3"/>
        <v/>
      </c>
    </row>
    <row r="87" spans="22:22" x14ac:dyDescent="0.25">
      <c r="V87" s="6" t="str">
        <f t="shared" si="3"/>
        <v/>
      </c>
    </row>
    <row r="88" spans="22:22" x14ac:dyDescent="0.25">
      <c r="V88" s="6" t="str">
        <f t="shared" si="3"/>
        <v/>
      </c>
    </row>
    <row r="89" spans="22:22" x14ac:dyDescent="0.25">
      <c r="V89" s="6" t="str">
        <f t="shared" si="3"/>
        <v/>
      </c>
    </row>
    <row r="90" spans="22:22" x14ac:dyDescent="0.25">
      <c r="V90" s="6" t="str">
        <f t="shared" si="3"/>
        <v/>
      </c>
    </row>
    <row r="91" spans="22:22" x14ac:dyDescent="0.25">
      <c r="V91" s="6" t="str">
        <f t="shared" si="3"/>
        <v/>
      </c>
    </row>
    <row r="92" spans="22:22" x14ac:dyDescent="0.25">
      <c r="V92" s="6" t="str">
        <f t="shared" si="3"/>
        <v/>
      </c>
    </row>
    <row r="93" spans="22:22" x14ac:dyDescent="0.25">
      <c r="V93" s="6" t="str">
        <f t="shared" si="3"/>
        <v/>
      </c>
    </row>
    <row r="94" spans="22:22" x14ac:dyDescent="0.25">
      <c r="V94" s="6" t="str">
        <f t="shared" si="3"/>
        <v/>
      </c>
    </row>
    <row r="95" spans="22:22" x14ac:dyDescent="0.25">
      <c r="V95" s="6" t="str">
        <f t="shared" si="3"/>
        <v/>
      </c>
    </row>
    <row r="96" spans="22:22" x14ac:dyDescent="0.25">
      <c r="V96" s="6" t="str">
        <f t="shared" si="3"/>
        <v/>
      </c>
    </row>
    <row r="97" spans="22:22" x14ac:dyDescent="0.25">
      <c r="V97" s="6" t="str">
        <f t="shared" si="3"/>
        <v/>
      </c>
    </row>
    <row r="98" spans="22:22" x14ac:dyDescent="0.25">
      <c r="V98" s="6" t="str">
        <f t="shared" si="3"/>
        <v/>
      </c>
    </row>
    <row r="99" spans="22:22" x14ac:dyDescent="0.25">
      <c r="V99" s="6" t="str">
        <f t="shared" si="3"/>
        <v/>
      </c>
    </row>
    <row r="100" spans="22:22" x14ac:dyDescent="0.25">
      <c r="V100" s="6" t="str">
        <f t="shared" si="3"/>
        <v/>
      </c>
    </row>
    <row r="101" spans="22:22" x14ac:dyDescent="0.25">
      <c r="V101" s="6" t="str">
        <f t="shared" si="3"/>
        <v/>
      </c>
    </row>
    <row r="102" spans="22:22" x14ac:dyDescent="0.25">
      <c r="V102" s="6" t="str">
        <f t="shared" si="3"/>
        <v/>
      </c>
    </row>
    <row r="103" spans="22:22" x14ac:dyDescent="0.25">
      <c r="V103" s="6" t="str">
        <f t="shared" si="3"/>
        <v/>
      </c>
    </row>
    <row r="104" spans="22:22" x14ac:dyDescent="0.25">
      <c r="V104" s="6" t="str">
        <f t="shared" si="3"/>
        <v/>
      </c>
    </row>
    <row r="105" spans="22:22" x14ac:dyDescent="0.25">
      <c r="V105" s="6" t="str">
        <f t="shared" si="3"/>
        <v/>
      </c>
    </row>
    <row r="106" spans="22:22" x14ac:dyDescent="0.25">
      <c r="V106" s="6" t="str">
        <f t="shared" si="3"/>
        <v/>
      </c>
    </row>
    <row r="107" spans="22:22" x14ac:dyDescent="0.25">
      <c r="V107" s="6" t="str">
        <f t="shared" si="3"/>
        <v/>
      </c>
    </row>
    <row r="108" spans="22:22" x14ac:dyDescent="0.25">
      <c r="V108" s="6" t="str">
        <f t="shared" si="3"/>
        <v/>
      </c>
    </row>
    <row r="109" spans="22:22" x14ac:dyDescent="0.25">
      <c r="V109" s="6" t="str">
        <f t="shared" si="3"/>
        <v/>
      </c>
    </row>
    <row r="110" spans="22:22" x14ac:dyDescent="0.25">
      <c r="V110" s="6" t="str">
        <f t="shared" si="3"/>
        <v/>
      </c>
    </row>
    <row r="111" spans="22:22" x14ac:dyDescent="0.25">
      <c r="V111" s="6" t="str">
        <f t="shared" si="3"/>
        <v/>
      </c>
    </row>
    <row r="112" spans="22:22" x14ac:dyDescent="0.25">
      <c r="V112" s="6" t="str">
        <f t="shared" si="3"/>
        <v/>
      </c>
    </row>
    <row r="113" spans="22:22" x14ac:dyDescent="0.25">
      <c r="V113" s="6" t="str">
        <f t="shared" si="3"/>
        <v/>
      </c>
    </row>
    <row r="114" spans="22:22" x14ac:dyDescent="0.25">
      <c r="V114" s="6" t="str">
        <f t="shared" si="3"/>
        <v/>
      </c>
    </row>
    <row r="115" spans="22:22" x14ac:dyDescent="0.25">
      <c r="V115" s="6" t="str">
        <f t="shared" si="3"/>
        <v/>
      </c>
    </row>
    <row r="116" spans="22:22" x14ac:dyDescent="0.25">
      <c r="V116" s="6" t="str">
        <f t="shared" si="3"/>
        <v/>
      </c>
    </row>
    <row r="117" spans="22:22" x14ac:dyDescent="0.25">
      <c r="V117" s="6" t="str">
        <f t="shared" si="3"/>
        <v/>
      </c>
    </row>
    <row r="118" spans="22:22" x14ac:dyDescent="0.25">
      <c r="V118" s="6" t="str">
        <f t="shared" si="3"/>
        <v/>
      </c>
    </row>
    <row r="119" spans="22:22" x14ac:dyDescent="0.25">
      <c r="V119" s="6" t="str">
        <f t="shared" si="3"/>
        <v/>
      </c>
    </row>
    <row r="120" spans="22:22" x14ac:dyDescent="0.25">
      <c r="V120" s="6" t="str">
        <f t="shared" si="3"/>
        <v/>
      </c>
    </row>
    <row r="121" spans="22:22" x14ac:dyDescent="0.25">
      <c r="V121" s="6" t="str">
        <f t="shared" si="3"/>
        <v/>
      </c>
    </row>
    <row r="122" spans="22:22" x14ac:dyDescent="0.25">
      <c r="V122" s="6" t="str">
        <f t="shared" si="3"/>
        <v/>
      </c>
    </row>
    <row r="123" spans="22:22" x14ac:dyDescent="0.25">
      <c r="V123" s="6" t="str">
        <f t="shared" si="3"/>
        <v/>
      </c>
    </row>
    <row r="124" spans="22:22" x14ac:dyDescent="0.25">
      <c r="V124" s="6" t="str">
        <f t="shared" si="3"/>
        <v/>
      </c>
    </row>
    <row r="125" spans="22:22" x14ac:dyDescent="0.25">
      <c r="V125" s="6" t="str">
        <f t="shared" si="3"/>
        <v/>
      </c>
    </row>
    <row r="126" spans="22:22" x14ac:dyDescent="0.25">
      <c r="V126" s="6" t="str">
        <f t="shared" si="3"/>
        <v/>
      </c>
    </row>
    <row r="127" spans="22:22" x14ac:dyDescent="0.25">
      <c r="V127" s="6" t="str">
        <f t="shared" si="3"/>
        <v/>
      </c>
    </row>
    <row r="128" spans="22:22" x14ac:dyDescent="0.25">
      <c r="V128" s="6" t="str">
        <f t="shared" si="3"/>
        <v/>
      </c>
    </row>
    <row r="129" spans="22:22" x14ac:dyDescent="0.25">
      <c r="V129" s="6" t="str">
        <f t="shared" si="3"/>
        <v/>
      </c>
    </row>
    <row r="130" spans="22:22" x14ac:dyDescent="0.25">
      <c r="V130" s="6" t="str">
        <f t="shared" si="3"/>
        <v/>
      </c>
    </row>
    <row r="131" spans="22:22" x14ac:dyDescent="0.25">
      <c r="V131" s="6" t="str">
        <f t="shared" ref="V131:V174" si="4">IFERROR(DATEVALUE(D131),"")</f>
        <v/>
      </c>
    </row>
    <row r="132" spans="22:22" x14ac:dyDescent="0.25">
      <c r="V132" s="6" t="str">
        <f t="shared" si="4"/>
        <v/>
      </c>
    </row>
    <row r="133" spans="22:22" x14ac:dyDescent="0.25">
      <c r="V133" s="6" t="str">
        <f t="shared" si="4"/>
        <v/>
      </c>
    </row>
    <row r="134" spans="22:22" x14ac:dyDescent="0.25">
      <c r="V134" s="6" t="str">
        <f t="shared" si="4"/>
        <v/>
      </c>
    </row>
    <row r="135" spans="22:22" x14ac:dyDescent="0.25">
      <c r="V135" s="6" t="str">
        <f t="shared" si="4"/>
        <v/>
      </c>
    </row>
    <row r="136" spans="22:22" x14ac:dyDescent="0.25">
      <c r="V136" s="6" t="str">
        <f t="shared" si="4"/>
        <v/>
      </c>
    </row>
    <row r="137" spans="22:22" x14ac:dyDescent="0.25">
      <c r="V137" s="6" t="str">
        <f t="shared" si="4"/>
        <v/>
      </c>
    </row>
    <row r="138" spans="22:22" x14ac:dyDescent="0.25">
      <c r="V138" s="6" t="str">
        <f t="shared" si="4"/>
        <v/>
      </c>
    </row>
    <row r="139" spans="22:22" x14ac:dyDescent="0.25">
      <c r="V139" s="6" t="str">
        <f t="shared" si="4"/>
        <v/>
      </c>
    </row>
    <row r="140" spans="22:22" x14ac:dyDescent="0.25">
      <c r="V140" s="6" t="str">
        <f t="shared" si="4"/>
        <v/>
      </c>
    </row>
    <row r="141" spans="22:22" x14ac:dyDescent="0.25">
      <c r="V141" s="6" t="str">
        <f t="shared" si="4"/>
        <v/>
      </c>
    </row>
    <row r="142" spans="22:22" x14ac:dyDescent="0.25">
      <c r="V142" s="6" t="str">
        <f t="shared" si="4"/>
        <v/>
      </c>
    </row>
    <row r="143" spans="22:22" x14ac:dyDescent="0.25">
      <c r="V143" s="6" t="str">
        <f t="shared" si="4"/>
        <v/>
      </c>
    </row>
    <row r="144" spans="22:22" x14ac:dyDescent="0.25">
      <c r="V144" s="6" t="str">
        <f t="shared" si="4"/>
        <v/>
      </c>
    </row>
    <row r="145" spans="22:22" x14ac:dyDescent="0.25">
      <c r="V145" s="6" t="str">
        <f t="shared" si="4"/>
        <v/>
      </c>
    </row>
    <row r="146" spans="22:22" x14ac:dyDescent="0.25">
      <c r="V146" s="6" t="str">
        <f t="shared" si="4"/>
        <v/>
      </c>
    </row>
    <row r="147" spans="22:22" x14ac:dyDescent="0.25">
      <c r="V147" s="6" t="str">
        <f t="shared" si="4"/>
        <v/>
      </c>
    </row>
    <row r="148" spans="22:22" x14ac:dyDescent="0.25">
      <c r="V148" s="6" t="str">
        <f t="shared" si="4"/>
        <v/>
      </c>
    </row>
    <row r="149" spans="22:22" x14ac:dyDescent="0.25">
      <c r="V149" s="6" t="str">
        <f t="shared" si="4"/>
        <v/>
      </c>
    </row>
    <row r="150" spans="22:22" x14ac:dyDescent="0.25">
      <c r="V150" s="6" t="str">
        <f t="shared" si="4"/>
        <v/>
      </c>
    </row>
    <row r="151" spans="22:22" x14ac:dyDescent="0.25">
      <c r="V151" s="6" t="str">
        <f t="shared" si="4"/>
        <v/>
      </c>
    </row>
    <row r="152" spans="22:22" x14ac:dyDescent="0.25">
      <c r="V152" s="6" t="str">
        <f t="shared" si="4"/>
        <v/>
      </c>
    </row>
    <row r="153" spans="22:22" x14ac:dyDescent="0.25">
      <c r="V153" s="6" t="str">
        <f t="shared" si="4"/>
        <v/>
      </c>
    </row>
    <row r="154" spans="22:22" x14ac:dyDescent="0.25">
      <c r="V154" s="6" t="str">
        <f t="shared" si="4"/>
        <v/>
      </c>
    </row>
    <row r="155" spans="22:22" x14ac:dyDescent="0.25">
      <c r="V155" s="6" t="str">
        <f t="shared" si="4"/>
        <v/>
      </c>
    </row>
    <row r="156" spans="22:22" x14ac:dyDescent="0.25">
      <c r="V156" s="6" t="str">
        <f t="shared" si="4"/>
        <v/>
      </c>
    </row>
    <row r="157" spans="22:22" x14ac:dyDescent="0.25">
      <c r="V157" s="6" t="str">
        <f t="shared" si="4"/>
        <v/>
      </c>
    </row>
    <row r="158" spans="22:22" x14ac:dyDescent="0.25">
      <c r="V158" s="6" t="str">
        <f t="shared" si="4"/>
        <v/>
      </c>
    </row>
    <row r="159" spans="22:22" x14ac:dyDescent="0.25">
      <c r="V159" s="6" t="str">
        <f t="shared" si="4"/>
        <v/>
      </c>
    </row>
    <row r="160" spans="22:22" x14ac:dyDescent="0.25">
      <c r="V160" s="6" t="str">
        <f t="shared" si="4"/>
        <v/>
      </c>
    </row>
    <row r="161" spans="22:22" x14ac:dyDescent="0.25">
      <c r="V161" s="6" t="str">
        <f t="shared" si="4"/>
        <v/>
      </c>
    </row>
    <row r="162" spans="22:22" x14ac:dyDescent="0.25">
      <c r="V162" s="6" t="str">
        <f t="shared" si="4"/>
        <v/>
      </c>
    </row>
    <row r="163" spans="22:22" x14ac:dyDescent="0.25">
      <c r="V163" s="6" t="str">
        <f t="shared" si="4"/>
        <v/>
      </c>
    </row>
    <row r="164" spans="22:22" x14ac:dyDescent="0.25">
      <c r="V164" s="6" t="str">
        <f t="shared" si="4"/>
        <v/>
      </c>
    </row>
    <row r="165" spans="22:22" x14ac:dyDescent="0.25">
      <c r="V165" s="6" t="str">
        <f t="shared" si="4"/>
        <v/>
      </c>
    </row>
    <row r="166" spans="22:22" x14ac:dyDescent="0.25">
      <c r="V166" s="6" t="str">
        <f t="shared" si="4"/>
        <v/>
      </c>
    </row>
    <row r="167" spans="22:22" x14ac:dyDescent="0.25">
      <c r="V167" s="6" t="str">
        <f t="shared" si="4"/>
        <v/>
      </c>
    </row>
    <row r="168" spans="22:22" x14ac:dyDescent="0.25">
      <c r="V168" s="6" t="str">
        <f t="shared" si="4"/>
        <v/>
      </c>
    </row>
    <row r="169" spans="22:22" x14ac:dyDescent="0.25">
      <c r="V169" s="6" t="str">
        <f t="shared" si="4"/>
        <v/>
      </c>
    </row>
    <row r="170" spans="22:22" x14ac:dyDescent="0.25">
      <c r="V170" s="6" t="str">
        <f t="shared" si="4"/>
        <v/>
      </c>
    </row>
    <row r="171" spans="22:22" x14ac:dyDescent="0.25">
      <c r="V171" s="6" t="str">
        <f t="shared" si="4"/>
        <v/>
      </c>
    </row>
    <row r="172" spans="22:22" x14ac:dyDescent="0.25">
      <c r="V172" s="6" t="str">
        <f t="shared" si="4"/>
        <v/>
      </c>
    </row>
    <row r="173" spans="22:22" x14ac:dyDescent="0.25">
      <c r="V173" s="6" t="str">
        <f t="shared" si="4"/>
        <v/>
      </c>
    </row>
    <row r="174" spans="22:22" x14ac:dyDescent="0.25">
      <c r="V174" s="6" t="str">
        <f t="shared" si="4"/>
        <v/>
      </c>
    </row>
    <row r="175" spans="22:22" x14ac:dyDescent="0.25">
      <c r="V175" s="6" t="str">
        <f>IFERROR(DATEVALUE(D175),"")</f>
        <v/>
      </c>
    </row>
    <row r="176" spans="22:22" x14ac:dyDescent="0.25">
      <c r="V176" s="6" t="str">
        <f t="shared" ref="V176:V239" si="5">IFERROR(DATEVALUE(D176),"")</f>
        <v/>
      </c>
    </row>
    <row r="177" spans="22:22" x14ac:dyDescent="0.25">
      <c r="V177" s="6" t="str">
        <f t="shared" si="5"/>
        <v/>
      </c>
    </row>
    <row r="178" spans="22:22" x14ac:dyDescent="0.25">
      <c r="V178" s="6" t="str">
        <f t="shared" si="5"/>
        <v/>
      </c>
    </row>
    <row r="179" spans="22:22" x14ac:dyDescent="0.25">
      <c r="V179" s="6" t="str">
        <f t="shared" si="5"/>
        <v/>
      </c>
    </row>
    <row r="180" spans="22:22" x14ac:dyDescent="0.25">
      <c r="V180" s="6" t="str">
        <f t="shared" si="5"/>
        <v/>
      </c>
    </row>
    <row r="181" spans="22:22" x14ac:dyDescent="0.25">
      <c r="V181" s="6" t="str">
        <f t="shared" si="5"/>
        <v/>
      </c>
    </row>
    <row r="182" spans="22:22" x14ac:dyDescent="0.25">
      <c r="V182" s="6" t="str">
        <f t="shared" si="5"/>
        <v/>
      </c>
    </row>
    <row r="183" spans="22:22" x14ac:dyDescent="0.25">
      <c r="V183" s="6" t="str">
        <f t="shared" si="5"/>
        <v/>
      </c>
    </row>
    <row r="184" spans="22:22" x14ac:dyDescent="0.25">
      <c r="V184" s="6" t="str">
        <f t="shared" si="5"/>
        <v/>
      </c>
    </row>
    <row r="185" spans="22:22" x14ac:dyDescent="0.25">
      <c r="V185" s="6" t="str">
        <f t="shared" si="5"/>
        <v/>
      </c>
    </row>
    <row r="186" spans="22:22" x14ac:dyDescent="0.25">
      <c r="V186" s="6" t="str">
        <f t="shared" si="5"/>
        <v/>
      </c>
    </row>
    <row r="187" spans="22:22" x14ac:dyDescent="0.25">
      <c r="V187" s="6" t="str">
        <f t="shared" si="5"/>
        <v/>
      </c>
    </row>
    <row r="188" spans="22:22" x14ac:dyDescent="0.25">
      <c r="V188" s="6" t="str">
        <f t="shared" si="5"/>
        <v/>
      </c>
    </row>
    <row r="189" spans="22:22" x14ac:dyDescent="0.25">
      <c r="V189" s="6" t="str">
        <f t="shared" si="5"/>
        <v/>
      </c>
    </row>
    <row r="190" spans="22:22" x14ac:dyDescent="0.25">
      <c r="V190" s="6" t="str">
        <f t="shared" si="5"/>
        <v/>
      </c>
    </row>
    <row r="191" spans="22:22" x14ac:dyDescent="0.25">
      <c r="V191" s="6" t="str">
        <f t="shared" si="5"/>
        <v/>
      </c>
    </row>
    <row r="192" spans="22:22" x14ac:dyDescent="0.25">
      <c r="V192" s="6" t="str">
        <f t="shared" si="5"/>
        <v/>
      </c>
    </row>
    <row r="193" spans="22:22" x14ac:dyDescent="0.25">
      <c r="V193" s="6" t="str">
        <f t="shared" si="5"/>
        <v/>
      </c>
    </row>
    <row r="194" spans="22:22" x14ac:dyDescent="0.25">
      <c r="V194" s="6" t="str">
        <f t="shared" si="5"/>
        <v/>
      </c>
    </row>
    <row r="195" spans="22:22" x14ac:dyDescent="0.25">
      <c r="V195" s="6" t="str">
        <f t="shared" si="5"/>
        <v/>
      </c>
    </row>
    <row r="196" spans="22:22" x14ac:dyDescent="0.25">
      <c r="V196" s="6" t="str">
        <f t="shared" si="5"/>
        <v/>
      </c>
    </row>
    <row r="197" spans="22:22" x14ac:dyDescent="0.25">
      <c r="V197" s="6" t="str">
        <f t="shared" si="5"/>
        <v/>
      </c>
    </row>
    <row r="198" spans="22:22" x14ac:dyDescent="0.25">
      <c r="V198" s="6" t="str">
        <f t="shared" si="5"/>
        <v/>
      </c>
    </row>
    <row r="199" spans="22:22" x14ac:dyDescent="0.25">
      <c r="V199" s="6" t="str">
        <f t="shared" si="5"/>
        <v/>
      </c>
    </row>
    <row r="200" spans="22:22" x14ac:dyDescent="0.25">
      <c r="V200" s="6" t="str">
        <f t="shared" si="5"/>
        <v/>
      </c>
    </row>
    <row r="201" spans="22:22" x14ac:dyDescent="0.25">
      <c r="V201" s="6" t="str">
        <f t="shared" si="5"/>
        <v/>
      </c>
    </row>
    <row r="202" spans="22:22" x14ac:dyDescent="0.25">
      <c r="V202" s="6" t="str">
        <f t="shared" si="5"/>
        <v/>
      </c>
    </row>
    <row r="203" spans="22:22" x14ac:dyDescent="0.25">
      <c r="V203" s="6" t="str">
        <f t="shared" si="5"/>
        <v/>
      </c>
    </row>
    <row r="204" spans="22:22" x14ac:dyDescent="0.25">
      <c r="V204" s="6" t="str">
        <f t="shared" si="5"/>
        <v/>
      </c>
    </row>
    <row r="205" spans="22:22" x14ac:dyDescent="0.25">
      <c r="V205" s="6" t="str">
        <f t="shared" si="5"/>
        <v/>
      </c>
    </row>
    <row r="206" spans="22:22" x14ac:dyDescent="0.25">
      <c r="V206" s="6" t="str">
        <f t="shared" si="5"/>
        <v/>
      </c>
    </row>
    <row r="207" spans="22:22" x14ac:dyDescent="0.25">
      <c r="V207" s="6" t="str">
        <f t="shared" si="5"/>
        <v/>
      </c>
    </row>
    <row r="208" spans="22:22" x14ac:dyDescent="0.25">
      <c r="V208" s="6" t="str">
        <f t="shared" si="5"/>
        <v/>
      </c>
    </row>
    <row r="209" spans="22:22" x14ac:dyDescent="0.25">
      <c r="V209" s="6" t="str">
        <f t="shared" si="5"/>
        <v/>
      </c>
    </row>
    <row r="210" spans="22:22" x14ac:dyDescent="0.25">
      <c r="V210" s="6" t="str">
        <f t="shared" si="5"/>
        <v/>
      </c>
    </row>
    <row r="211" spans="22:22" x14ac:dyDescent="0.25">
      <c r="V211" s="6" t="str">
        <f t="shared" si="5"/>
        <v/>
      </c>
    </row>
    <row r="212" spans="22:22" x14ac:dyDescent="0.25">
      <c r="V212" s="6" t="str">
        <f t="shared" si="5"/>
        <v/>
      </c>
    </row>
    <row r="213" spans="22:22" x14ac:dyDescent="0.25">
      <c r="V213" s="6" t="str">
        <f t="shared" si="5"/>
        <v/>
      </c>
    </row>
    <row r="214" spans="22:22" x14ac:dyDescent="0.25">
      <c r="V214" s="6" t="str">
        <f t="shared" si="5"/>
        <v/>
      </c>
    </row>
    <row r="215" spans="22:22" x14ac:dyDescent="0.25">
      <c r="V215" s="6" t="str">
        <f t="shared" si="5"/>
        <v/>
      </c>
    </row>
    <row r="216" spans="22:22" x14ac:dyDescent="0.25">
      <c r="V216" s="6" t="str">
        <f t="shared" si="5"/>
        <v/>
      </c>
    </row>
    <row r="217" spans="22:22" x14ac:dyDescent="0.25">
      <c r="V217" s="6" t="str">
        <f t="shared" si="5"/>
        <v/>
      </c>
    </row>
    <row r="218" spans="22:22" x14ac:dyDescent="0.25">
      <c r="V218" s="6" t="str">
        <f t="shared" si="5"/>
        <v/>
      </c>
    </row>
    <row r="219" spans="22:22" x14ac:dyDescent="0.25">
      <c r="V219" s="6" t="str">
        <f t="shared" si="5"/>
        <v/>
      </c>
    </row>
    <row r="220" spans="22:22" x14ac:dyDescent="0.25">
      <c r="V220" s="6" t="str">
        <f t="shared" si="5"/>
        <v/>
      </c>
    </row>
    <row r="221" spans="22:22" x14ac:dyDescent="0.25">
      <c r="V221" s="6" t="str">
        <f t="shared" si="5"/>
        <v/>
      </c>
    </row>
    <row r="222" spans="22:22" x14ac:dyDescent="0.25">
      <c r="V222" s="6" t="str">
        <f t="shared" si="5"/>
        <v/>
      </c>
    </row>
    <row r="223" spans="22:22" x14ac:dyDescent="0.25">
      <c r="V223" s="6" t="str">
        <f t="shared" si="5"/>
        <v/>
      </c>
    </row>
    <row r="224" spans="22:22" x14ac:dyDescent="0.25">
      <c r="V224" s="6" t="str">
        <f t="shared" si="5"/>
        <v/>
      </c>
    </row>
    <row r="225" spans="22:22" x14ac:dyDescent="0.25">
      <c r="V225" s="6" t="str">
        <f t="shared" si="5"/>
        <v/>
      </c>
    </row>
    <row r="226" spans="22:22" x14ac:dyDescent="0.25">
      <c r="V226" s="6" t="str">
        <f t="shared" si="5"/>
        <v/>
      </c>
    </row>
    <row r="227" spans="22:22" x14ac:dyDescent="0.25">
      <c r="V227" s="6" t="str">
        <f t="shared" si="5"/>
        <v/>
      </c>
    </row>
    <row r="228" spans="22:22" x14ac:dyDescent="0.25">
      <c r="V228" s="6" t="str">
        <f t="shared" si="5"/>
        <v/>
      </c>
    </row>
    <row r="229" spans="22:22" x14ac:dyDescent="0.25">
      <c r="V229" s="6" t="str">
        <f t="shared" si="5"/>
        <v/>
      </c>
    </row>
    <row r="230" spans="22:22" x14ac:dyDescent="0.25">
      <c r="V230" s="6" t="str">
        <f t="shared" si="5"/>
        <v/>
      </c>
    </row>
    <row r="231" spans="22:22" x14ac:dyDescent="0.25">
      <c r="V231" s="6" t="str">
        <f t="shared" si="5"/>
        <v/>
      </c>
    </row>
    <row r="232" spans="22:22" x14ac:dyDescent="0.25">
      <c r="V232" s="6" t="str">
        <f t="shared" si="5"/>
        <v/>
      </c>
    </row>
    <row r="233" spans="22:22" x14ac:dyDescent="0.25">
      <c r="V233" s="6" t="str">
        <f t="shared" si="5"/>
        <v/>
      </c>
    </row>
    <row r="234" spans="22:22" x14ac:dyDescent="0.25">
      <c r="V234" s="6" t="str">
        <f t="shared" si="5"/>
        <v/>
      </c>
    </row>
    <row r="235" spans="22:22" x14ac:dyDescent="0.25">
      <c r="V235" s="6" t="str">
        <f t="shared" si="5"/>
        <v/>
      </c>
    </row>
    <row r="236" spans="22:22" x14ac:dyDescent="0.25">
      <c r="V236" s="6" t="str">
        <f t="shared" si="5"/>
        <v/>
      </c>
    </row>
    <row r="237" spans="22:22" x14ac:dyDescent="0.25">
      <c r="V237" s="6" t="str">
        <f t="shared" si="5"/>
        <v/>
      </c>
    </row>
    <row r="238" spans="22:22" x14ac:dyDescent="0.25">
      <c r="V238" s="6" t="str">
        <f t="shared" si="5"/>
        <v/>
      </c>
    </row>
    <row r="239" spans="22:22" x14ac:dyDescent="0.25">
      <c r="V239" s="6" t="str">
        <f t="shared" si="5"/>
        <v/>
      </c>
    </row>
    <row r="240" spans="22:22" x14ac:dyDescent="0.25">
      <c r="V240" s="6" t="str">
        <f t="shared" ref="V240:V303" si="6">IFERROR(DATEVALUE(D240),"")</f>
        <v/>
      </c>
    </row>
    <row r="241" spans="22:22" x14ac:dyDescent="0.25">
      <c r="V241" s="6" t="str">
        <f t="shared" si="6"/>
        <v/>
      </c>
    </row>
    <row r="242" spans="22:22" x14ac:dyDescent="0.25">
      <c r="V242" s="6" t="str">
        <f t="shared" si="6"/>
        <v/>
      </c>
    </row>
    <row r="243" spans="22:22" x14ac:dyDescent="0.25">
      <c r="V243" s="6" t="str">
        <f t="shared" si="6"/>
        <v/>
      </c>
    </row>
    <row r="244" spans="22:22" x14ac:dyDescent="0.25">
      <c r="V244" s="6" t="str">
        <f t="shared" si="6"/>
        <v/>
      </c>
    </row>
    <row r="245" spans="22:22" x14ac:dyDescent="0.25">
      <c r="V245" s="6" t="str">
        <f t="shared" si="6"/>
        <v/>
      </c>
    </row>
    <row r="246" spans="22:22" x14ac:dyDescent="0.25">
      <c r="V246" s="6" t="str">
        <f t="shared" si="6"/>
        <v/>
      </c>
    </row>
    <row r="247" spans="22:22" x14ac:dyDescent="0.25">
      <c r="V247" s="6" t="str">
        <f t="shared" si="6"/>
        <v/>
      </c>
    </row>
    <row r="248" spans="22:22" x14ac:dyDescent="0.25">
      <c r="V248" s="6" t="str">
        <f t="shared" si="6"/>
        <v/>
      </c>
    </row>
    <row r="249" spans="22:22" x14ac:dyDescent="0.25">
      <c r="V249" s="6" t="str">
        <f t="shared" si="6"/>
        <v/>
      </c>
    </row>
    <row r="250" spans="22:22" x14ac:dyDescent="0.25">
      <c r="V250" s="6" t="str">
        <f t="shared" si="6"/>
        <v/>
      </c>
    </row>
    <row r="251" spans="22:22" x14ac:dyDescent="0.25">
      <c r="V251" s="6" t="str">
        <f t="shared" si="6"/>
        <v/>
      </c>
    </row>
    <row r="252" spans="22:22" x14ac:dyDescent="0.25">
      <c r="V252" s="6" t="str">
        <f t="shared" si="6"/>
        <v/>
      </c>
    </row>
    <row r="253" spans="22:22" x14ac:dyDescent="0.25">
      <c r="V253" s="6" t="str">
        <f t="shared" si="6"/>
        <v/>
      </c>
    </row>
    <row r="254" spans="22:22" x14ac:dyDescent="0.25">
      <c r="V254" s="6" t="str">
        <f t="shared" si="6"/>
        <v/>
      </c>
    </row>
    <row r="255" spans="22:22" x14ac:dyDescent="0.25">
      <c r="V255" s="6" t="str">
        <f t="shared" si="6"/>
        <v/>
      </c>
    </row>
    <row r="256" spans="22:22" x14ac:dyDescent="0.25">
      <c r="V256" s="6" t="str">
        <f t="shared" si="6"/>
        <v/>
      </c>
    </row>
    <row r="257" spans="22:22" x14ac:dyDescent="0.25">
      <c r="V257" s="6" t="str">
        <f t="shared" si="6"/>
        <v/>
      </c>
    </row>
    <row r="258" spans="22:22" x14ac:dyDescent="0.25">
      <c r="V258" s="6" t="str">
        <f t="shared" si="6"/>
        <v/>
      </c>
    </row>
    <row r="259" spans="22:22" x14ac:dyDescent="0.25">
      <c r="V259" s="6" t="str">
        <f t="shared" si="6"/>
        <v/>
      </c>
    </row>
    <row r="260" spans="22:22" x14ac:dyDescent="0.25">
      <c r="V260" s="6" t="str">
        <f t="shared" si="6"/>
        <v/>
      </c>
    </row>
    <row r="261" spans="22:22" x14ac:dyDescent="0.25">
      <c r="V261" s="6" t="str">
        <f t="shared" si="6"/>
        <v/>
      </c>
    </row>
    <row r="262" spans="22:22" x14ac:dyDescent="0.25">
      <c r="V262" s="6" t="str">
        <f t="shared" si="6"/>
        <v/>
      </c>
    </row>
    <row r="263" spans="22:22" x14ac:dyDescent="0.25">
      <c r="V263" s="6" t="str">
        <f t="shared" si="6"/>
        <v/>
      </c>
    </row>
    <row r="264" spans="22:22" x14ac:dyDescent="0.25">
      <c r="V264" s="6" t="str">
        <f t="shared" si="6"/>
        <v/>
      </c>
    </row>
    <row r="265" spans="22:22" x14ac:dyDescent="0.25">
      <c r="V265" s="6" t="str">
        <f t="shared" si="6"/>
        <v/>
      </c>
    </row>
    <row r="266" spans="22:22" x14ac:dyDescent="0.25">
      <c r="V266" s="6" t="str">
        <f t="shared" si="6"/>
        <v/>
      </c>
    </row>
    <row r="267" spans="22:22" x14ac:dyDescent="0.25">
      <c r="V267" s="6" t="str">
        <f t="shared" si="6"/>
        <v/>
      </c>
    </row>
    <row r="268" spans="22:22" x14ac:dyDescent="0.25">
      <c r="V268" s="6" t="str">
        <f t="shared" si="6"/>
        <v/>
      </c>
    </row>
    <row r="269" spans="22:22" x14ac:dyDescent="0.25">
      <c r="V269" s="6" t="str">
        <f t="shared" si="6"/>
        <v/>
      </c>
    </row>
    <row r="270" spans="22:22" x14ac:dyDescent="0.25">
      <c r="V270" s="6" t="str">
        <f t="shared" si="6"/>
        <v/>
      </c>
    </row>
    <row r="271" spans="22:22" x14ac:dyDescent="0.25">
      <c r="V271" s="6" t="str">
        <f t="shared" si="6"/>
        <v/>
      </c>
    </row>
    <row r="272" spans="22:22" x14ac:dyDescent="0.25">
      <c r="V272" s="6" t="str">
        <f t="shared" si="6"/>
        <v/>
      </c>
    </row>
    <row r="273" spans="22:22" x14ac:dyDescent="0.25">
      <c r="V273" s="6" t="str">
        <f t="shared" si="6"/>
        <v/>
      </c>
    </row>
    <row r="274" spans="22:22" x14ac:dyDescent="0.25">
      <c r="V274" s="6" t="str">
        <f t="shared" si="6"/>
        <v/>
      </c>
    </row>
    <row r="275" spans="22:22" x14ac:dyDescent="0.25">
      <c r="V275" s="6" t="str">
        <f t="shared" si="6"/>
        <v/>
      </c>
    </row>
    <row r="276" spans="22:22" x14ac:dyDescent="0.25">
      <c r="V276" s="6" t="str">
        <f t="shared" si="6"/>
        <v/>
      </c>
    </row>
    <row r="277" spans="22:22" x14ac:dyDescent="0.25">
      <c r="V277" s="6" t="str">
        <f t="shared" si="6"/>
        <v/>
      </c>
    </row>
    <row r="278" spans="22:22" x14ac:dyDescent="0.25">
      <c r="V278" s="6" t="str">
        <f t="shared" si="6"/>
        <v/>
      </c>
    </row>
    <row r="279" spans="22:22" x14ac:dyDescent="0.25">
      <c r="V279" s="6" t="str">
        <f t="shared" si="6"/>
        <v/>
      </c>
    </row>
    <row r="280" spans="22:22" x14ac:dyDescent="0.25">
      <c r="V280" s="6" t="str">
        <f t="shared" si="6"/>
        <v/>
      </c>
    </row>
    <row r="281" spans="22:22" x14ac:dyDescent="0.25">
      <c r="V281" s="6" t="str">
        <f t="shared" si="6"/>
        <v/>
      </c>
    </row>
    <row r="282" spans="22:22" x14ac:dyDescent="0.25">
      <c r="V282" s="6" t="str">
        <f t="shared" si="6"/>
        <v/>
      </c>
    </row>
    <row r="283" spans="22:22" x14ac:dyDescent="0.25">
      <c r="V283" s="6" t="str">
        <f t="shared" si="6"/>
        <v/>
      </c>
    </row>
    <row r="284" spans="22:22" x14ac:dyDescent="0.25">
      <c r="V284" s="6" t="str">
        <f t="shared" si="6"/>
        <v/>
      </c>
    </row>
    <row r="285" spans="22:22" x14ac:dyDescent="0.25">
      <c r="V285" s="6" t="str">
        <f t="shared" si="6"/>
        <v/>
      </c>
    </row>
    <row r="286" spans="22:22" x14ac:dyDescent="0.25">
      <c r="V286" s="6" t="str">
        <f t="shared" si="6"/>
        <v/>
      </c>
    </row>
    <row r="287" spans="22:22" x14ac:dyDescent="0.25">
      <c r="V287" s="6" t="str">
        <f t="shared" si="6"/>
        <v/>
      </c>
    </row>
    <row r="288" spans="22:22" x14ac:dyDescent="0.25">
      <c r="V288" s="6" t="str">
        <f t="shared" si="6"/>
        <v/>
      </c>
    </row>
    <row r="289" spans="22:22" x14ac:dyDescent="0.25">
      <c r="V289" s="6" t="str">
        <f t="shared" si="6"/>
        <v/>
      </c>
    </row>
    <row r="290" spans="22:22" x14ac:dyDescent="0.25">
      <c r="V290" s="6" t="str">
        <f t="shared" si="6"/>
        <v/>
      </c>
    </row>
    <row r="291" spans="22:22" x14ac:dyDescent="0.25">
      <c r="V291" s="6" t="str">
        <f t="shared" si="6"/>
        <v/>
      </c>
    </row>
    <row r="292" spans="22:22" x14ac:dyDescent="0.25">
      <c r="V292" s="6" t="str">
        <f t="shared" si="6"/>
        <v/>
      </c>
    </row>
    <row r="293" spans="22:22" x14ac:dyDescent="0.25">
      <c r="V293" s="6" t="str">
        <f t="shared" si="6"/>
        <v/>
      </c>
    </row>
    <row r="294" spans="22:22" x14ac:dyDescent="0.25">
      <c r="V294" s="6" t="str">
        <f t="shared" si="6"/>
        <v/>
      </c>
    </row>
    <row r="295" spans="22:22" x14ac:dyDescent="0.25">
      <c r="V295" s="6" t="str">
        <f t="shared" si="6"/>
        <v/>
      </c>
    </row>
    <row r="296" spans="22:22" x14ac:dyDescent="0.25">
      <c r="V296" s="6" t="str">
        <f t="shared" si="6"/>
        <v/>
      </c>
    </row>
    <row r="297" spans="22:22" x14ac:dyDescent="0.25">
      <c r="V297" s="6" t="str">
        <f t="shared" si="6"/>
        <v/>
      </c>
    </row>
    <row r="298" spans="22:22" x14ac:dyDescent="0.25">
      <c r="V298" s="6" t="str">
        <f t="shared" si="6"/>
        <v/>
      </c>
    </row>
    <row r="299" spans="22:22" x14ac:dyDescent="0.25">
      <c r="V299" s="6" t="str">
        <f t="shared" si="6"/>
        <v/>
      </c>
    </row>
    <row r="300" spans="22:22" x14ac:dyDescent="0.25">
      <c r="V300" s="6" t="str">
        <f t="shared" si="6"/>
        <v/>
      </c>
    </row>
    <row r="301" spans="22:22" x14ac:dyDescent="0.25">
      <c r="V301" s="6" t="str">
        <f t="shared" si="6"/>
        <v/>
      </c>
    </row>
    <row r="302" spans="22:22" x14ac:dyDescent="0.25">
      <c r="V302" s="6" t="str">
        <f t="shared" si="6"/>
        <v/>
      </c>
    </row>
    <row r="303" spans="22:22" x14ac:dyDescent="0.25">
      <c r="V303" s="6" t="str">
        <f t="shared" si="6"/>
        <v/>
      </c>
    </row>
    <row r="304" spans="22:22" x14ac:dyDescent="0.25">
      <c r="V304" s="6" t="str">
        <f t="shared" ref="V304:V367" si="7">IFERROR(DATEVALUE(D304),"")</f>
        <v/>
      </c>
    </row>
    <row r="305" spans="22:22" x14ac:dyDescent="0.25">
      <c r="V305" s="6" t="str">
        <f t="shared" si="7"/>
        <v/>
      </c>
    </row>
    <row r="306" spans="22:22" x14ac:dyDescent="0.25">
      <c r="V306" s="6" t="str">
        <f t="shared" si="7"/>
        <v/>
      </c>
    </row>
    <row r="307" spans="22:22" x14ac:dyDescent="0.25">
      <c r="V307" s="6" t="str">
        <f t="shared" si="7"/>
        <v/>
      </c>
    </row>
    <row r="308" spans="22:22" x14ac:dyDescent="0.25">
      <c r="V308" s="6" t="str">
        <f t="shared" si="7"/>
        <v/>
      </c>
    </row>
    <row r="309" spans="22:22" x14ac:dyDescent="0.25">
      <c r="V309" s="6" t="str">
        <f t="shared" si="7"/>
        <v/>
      </c>
    </row>
    <row r="310" spans="22:22" x14ac:dyDescent="0.25">
      <c r="V310" s="6" t="str">
        <f t="shared" si="7"/>
        <v/>
      </c>
    </row>
    <row r="311" spans="22:22" x14ac:dyDescent="0.25">
      <c r="V311" s="6" t="str">
        <f t="shared" si="7"/>
        <v/>
      </c>
    </row>
    <row r="312" spans="22:22" x14ac:dyDescent="0.25">
      <c r="V312" s="6" t="str">
        <f t="shared" si="7"/>
        <v/>
      </c>
    </row>
    <row r="313" spans="22:22" x14ac:dyDescent="0.25">
      <c r="V313" s="6" t="str">
        <f t="shared" si="7"/>
        <v/>
      </c>
    </row>
    <row r="314" spans="22:22" x14ac:dyDescent="0.25">
      <c r="V314" s="6" t="str">
        <f t="shared" si="7"/>
        <v/>
      </c>
    </row>
    <row r="315" spans="22:22" x14ac:dyDescent="0.25">
      <c r="V315" s="6" t="str">
        <f t="shared" si="7"/>
        <v/>
      </c>
    </row>
    <row r="316" spans="22:22" x14ac:dyDescent="0.25">
      <c r="V316" s="6" t="str">
        <f t="shared" si="7"/>
        <v/>
      </c>
    </row>
    <row r="317" spans="22:22" x14ac:dyDescent="0.25">
      <c r="V317" s="6" t="str">
        <f t="shared" si="7"/>
        <v/>
      </c>
    </row>
    <row r="318" spans="22:22" x14ac:dyDescent="0.25">
      <c r="V318" s="6" t="str">
        <f t="shared" si="7"/>
        <v/>
      </c>
    </row>
    <row r="319" spans="22:22" x14ac:dyDescent="0.25">
      <c r="V319" s="6" t="str">
        <f t="shared" si="7"/>
        <v/>
      </c>
    </row>
    <row r="320" spans="22:22" x14ac:dyDescent="0.25">
      <c r="V320" s="6" t="str">
        <f t="shared" si="7"/>
        <v/>
      </c>
    </row>
    <row r="321" spans="22:22" x14ac:dyDescent="0.25">
      <c r="V321" s="6" t="str">
        <f t="shared" si="7"/>
        <v/>
      </c>
    </row>
    <row r="322" spans="22:22" x14ac:dyDescent="0.25">
      <c r="V322" s="6" t="str">
        <f t="shared" si="7"/>
        <v/>
      </c>
    </row>
    <row r="323" spans="22:22" x14ac:dyDescent="0.25">
      <c r="V323" s="6" t="str">
        <f t="shared" si="7"/>
        <v/>
      </c>
    </row>
    <row r="324" spans="22:22" x14ac:dyDescent="0.25">
      <c r="V324" s="6" t="str">
        <f t="shared" si="7"/>
        <v/>
      </c>
    </row>
    <row r="325" spans="22:22" x14ac:dyDescent="0.25">
      <c r="V325" s="6" t="str">
        <f t="shared" si="7"/>
        <v/>
      </c>
    </row>
    <row r="326" spans="22:22" x14ac:dyDescent="0.25">
      <c r="V326" s="6" t="str">
        <f t="shared" si="7"/>
        <v/>
      </c>
    </row>
    <row r="327" spans="22:22" x14ac:dyDescent="0.25">
      <c r="V327" s="6" t="str">
        <f t="shared" si="7"/>
        <v/>
      </c>
    </row>
    <row r="328" spans="22:22" x14ac:dyDescent="0.25">
      <c r="V328" s="6" t="str">
        <f t="shared" si="7"/>
        <v/>
      </c>
    </row>
    <row r="329" spans="22:22" x14ac:dyDescent="0.25">
      <c r="V329" s="6" t="str">
        <f t="shared" si="7"/>
        <v/>
      </c>
    </row>
    <row r="330" spans="22:22" x14ac:dyDescent="0.25">
      <c r="V330" s="6" t="str">
        <f t="shared" si="7"/>
        <v/>
      </c>
    </row>
    <row r="331" spans="22:22" x14ac:dyDescent="0.25">
      <c r="V331" s="6" t="str">
        <f t="shared" si="7"/>
        <v/>
      </c>
    </row>
    <row r="332" spans="22:22" x14ac:dyDescent="0.25">
      <c r="V332" s="6" t="str">
        <f t="shared" si="7"/>
        <v/>
      </c>
    </row>
    <row r="333" spans="22:22" x14ac:dyDescent="0.25">
      <c r="V333" s="6" t="str">
        <f t="shared" si="7"/>
        <v/>
      </c>
    </row>
    <row r="334" spans="22:22" x14ac:dyDescent="0.25">
      <c r="V334" s="6" t="str">
        <f t="shared" si="7"/>
        <v/>
      </c>
    </row>
    <row r="335" spans="22:22" x14ac:dyDescent="0.25">
      <c r="V335" s="6" t="str">
        <f t="shared" si="7"/>
        <v/>
      </c>
    </row>
    <row r="336" spans="22:22" x14ac:dyDescent="0.25">
      <c r="V336" s="6" t="str">
        <f t="shared" si="7"/>
        <v/>
      </c>
    </row>
    <row r="337" spans="22:22" x14ac:dyDescent="0.25">
      <c r="V337" s="6" t="str">
        <f t="shared" si="7"/>
        <v/>
      </c>
    </row>
    <row r="338" spans="22:22" x14ac:dyDescent="0.25">
      <c r="V338" s="6" t="str">
        <f t="shared" si="7"/>
        <v/>
      </c>
    </row>
    <row r="339" spans="22:22" x14ac:dyDescent="0.25">
      <c r="V339" s="6" t="str">
        <f t="shared" si="7"/>
        <v/>
      </c>
    </row>
    <row r="340" spans="22:22" x14ac:dyDescent="0.25">
      <c r="V340" s="6" t="str">
        <f t="shared" si="7"/>
        <v/>
      </c>
    </row>
    <row r="341" spans="22:22" x14ac:dyDescent="0.25">
      <c r="V341" s="6" t="str">
        <f t="shared" si="7"/>
        <v/>
      </c>
    </row>
    <row r="342" spans="22:22" x14ac:dyDescent="0.25">
      <c r="V342" s="6" t="str">
        <f t="shared" si="7"/>
        <v/>
      </c>
    </row>
    <row r="343" spans="22:22" x14ac:dyDescent="0.25">
      <c r="V343" s="6" t="str">
        <f t="shared" si="7"/>
        <v/>
      </c>
    </row>
    <row r="344" spans="22:22" x14ac:dyDescent="0.25">
      <c r="V344" s="6" t="str">
        <f t="shared" si="7"/>
        <v/>
      </c>
    </row>
    <row r="345" spans="22:22" x14ac:dyDescent="0.25">
      <c r="V345" s="6" t="str">
        <f t="shared" si="7"/>
        <v/>
      </c>
    </row>
    <row r="346" spans="22:22" x14ac:dyDescent="0.25">
      <c r="V346" s="6" t="str">
        <f t="shared" si="7"/>
        <v/>
      </c>
    </row>
    <row r="347" spans="22:22" x14ac:dyDescent="0.25">
      <c r="V347" s="6" t="str">
        <f t="shared" si="7"/>
        <v/>
      </c>
    </row>
    <row r="348" spans="22:22" x14ac:dyDescent="0.25">
      <c r="V348" s="6" t="str">
        <f t="shared" si="7"/>
        <v/>
      </c>
    </row>
    <row r="349" spans="22:22" x14ac:dyDescent="0.25">
      <c r="V349" s="6" t="str">
        <f t="shared" si="7"/>
        <v/>
      </c>
    </row>
    <row r="350" spans="22:22" x14ac:dyDescent="0.25">
      <c r="V350" s="6" t="str">
        <f t="shared" si="7"/>
        <v/>
      </c>
    </row>
    <row r="351" spans="22:22" x14ac:dyDescent="0.25">
      <c r="V351" s="6" t="str">
        <f t="shared" si="7"/>
        <v/>
      </c>
    </row>
    <row r="352" spans="22:22" x14ac:dyDescent="0.25">
      <c r="V352" s="6" t="str">
        <f t="shared" si="7"/>
        <v/>
      </c>
    </row>
    <row r="353" spans="22:22" x14ac:dyDescent="0.25">
      <c r="V353" s="6" t="str">
        <f t="shared" si="7"/>
        <v/>
      </c>
    </row>
    <row r="354" spans="22:22" x14ac:dyDescent="0.25">
      <c r="V354" s="6" t="str">
        <f t="shared" si="7"/>
        <v/>
      </c>
    </row>
    <row r="355" spans="22:22" x14ac:dyDescent="0.25">
      <c r="V355" s="6" t="str">
        <f t="shared" si="7"/>
        <v/>
      </c>
    </row>
    <row r="356" spans="22:22" x14ac:dyDescent="0.25">
      <c r="V356" s="6" t="str">
        <f t="shared" si="7"/>
        <v/>
      </c>
    </row>
    <row r="357" spans="22:22" x14ac:dyDescent="0.25">
      <c r="V357" s="6" t="str">
        <f t="shared" si="7"/>
        <v/>
      </c>
    </row>
    <row r="358" spans="22:22" x14ac:dyDescent="0.25">
      <c r="V358" s="6" t="str">
        <f t="shared" si="7"/>
        <v/>
      </c>
    </row>
    <row r="359" spans="22:22" x14ac:dyDescent="0.25">
      <c r="V359" s="6" t="str">
        <f t="shared" si="7"/>
        <v/>
      </c>
    </row>
    <row r="360" spans="22:22" x14ac:dyDescent="0.25">
      <c r="V360" s="6" t="str">
        <f t="shared" si="7"/>
        <v/>
      </c>
    </row>
    <row r="361" spans="22:22" x14ac:dyDescent="0.25">
      <c r="V361" s="6" t="str">
        <f t="shared" si="7"/>
        <v/>
      </c>
    </row>
    <row r="362" spans="22:22" x14ac:dyDescent="0.25">
      <c r="V362" s="6" t="str">
        <f t="shared" si="7"/>
        <v/>
      </c>
    </row>
    <row r="363" spans="22:22" x14ac:dyDescent="0.25">
      <c r="V363" s="6" t="str">
        <f t="shared" si="7"/>
        <v/>
      </c>
    </row>
    <row r="364" spans="22:22" x14ac:dyDescent="0.25">
      <c r="V364" s="6" t="str">
        <f t="shared" si="7"/>
        <v/>
      </c>
    </row>
    <row r="365" spans="22:22" x14ac:dyDescent="0.25">
      <c r="V365" s="6" t="str">
        <f t="shared" si="7"/>
        <v/>
      </c>
    </row>
    <row r="366" spans="22:22" x14ac:dyDescent="0.25">
      <c r="V366" s="6" t="str">
        <f t="shared" si="7"/>
        <v/>
      </c>
    </row>
    <row r="367" spans="22:22" x14ac:dyDescent="0.25">
      <c r="V367" s="6" t="str">
        <f t="shared" si="7"/>
        <v/>
      </c>
    </row>
    <row r="368" spans="22:22" x14ac:dyDescent="0.25">
      <c r="V368" s="6" t="str">
        <f t="shared" ref="V368:V431" si="8">IFERROR(DATEVALUE(D368),"")</f>
        <v/>
      </c>
    </row>
    <row r="369" spans="22:22" x14ac:dyDescent="0.25">
      <c r="V369" s="6" t="str">
        <f t="shared" si="8"/>
        <v/>
      </c>
    </row>
    <row r="370" spans="22:22" x14ac:dyDescent="0.25">
      <c r="V370" s="6" t="str">
        <f t="shared" si="8"/>
        <v/>
      </c>
    </row>
    <row r="371" spans="22:22" x14ac:dyDescent="0.25">
      <c r="V371" s="6" t="str">
        <f t="shared" si="8"/>
        <v/>
      </c>
    </row>
    <row r="372" spans="22:22" x14ac:dyDescent="0.25">
      <c r="V372" s="6" t="str">
        <f t="shared" si="8"/>
        <v/>
      </c>
    </row>
    <row r="373" spans="22:22" x14ac:dyDescent="0.25">
      <c r="V373" s="6" t="str">
        <f t="shared" si="8"/>
        <v/>
      </c>
    </row>
    <row r="374" spans="22:22" x14ac:dyDescent="0.25">
      <c r="V374" s="6" t="str">
        <f t="shared" si="8"/>
        <v/>
      </c>
    </row>
    <row r="375" spans="22:22" x14ac:dyDescent="0.25">
      <c r="V375" s="6" t="str">
        <f t="shared" si="8"/>
        <v/>
      </c>
    </row>
    <row r="376" spans="22:22" x14ac:dyDescent="0.25">
      <c r="V376" s="6" t="str">
        <f t="shared" si="8"/>
        <v/>
      </c>
    </row>
    <row r="377" spans="22:22" x14ac:dyDescent="0.25">
      <c r="V377" s="6" t="str">
        <f t="shared" si="8"/>
        <v/>
      </c>
    </row>
    <row r="378" spans="22:22" x14ac:dyDescent="0.25">
      <c r="V378" s="6" t="str">
        <f t="shared" si="8"/>
        <v/>
      </c>
    </row>
    <row r="379" spans="22:22" x14ac:dyDescent="0.25">
      <c r="V379" s="6" t="str">
        <f t="shared" si="8"/>
        <v/>
      </c>
    </row>
    <row r="380" spans="22:22" x14ac:dyDescent="0.25">
      <c r="V380" s="6" t="str">
        <f t="shared" si="8"/>
        <v/>
      </c>
    </row>
    <row r="381" spans="22:22" x14ac:dyDescent="0.25">
      <c r="V381" s="6" t="str">
        <f t="shared" si="8"/>
        <v/>
      </c>
    </row>
    <row r="382" spans="22:22" x14ac:dyDescent="0.25">
      <c r="V382" s="6" t="str">
        <f t="shared" si="8"/>
        <v/>
      </c>
    </row>
    <row r="383" spans="22:22" x14ac:dyDescent="0.25">
      <c r="V383" s="6" t="str">
        <f t="shared" si="8"/>
        <v/>
      </c>
    </row>
    <row r="384" spans="22:22" x14ac:dyDescent="0.25">
      <c r="V384" s="6" t="str">
        <f t="shared" si="8"/>
        <v/>
      </c>
    </row>
    <row r="385" spans="22:22" x14ac:dyDescent="0.25">
      <c r="V385" s="6" t="str">
        <f t="shared" si="8"/>
        <v/>
      </c>
    </row>
    <row r="386" spans="22:22" x14ac:dyDescent="0.25">
      <c r="V386" s="6" t="str">
        <f t="shared" si="8"/>
        <v/>
      </c>
    </row>
    <row r="387" spans="22:22" x14ac:dyDescent="0.25">
      <c r="V387" s="6" t="str">
        <f t="shared" si="8"/>
        <v/>
      </c>
    </row>
    <row r="388" spans="22:22" x14ac:dyDescent="0.25">
      <c r="V388" s="6" t="str">
        <f t="shared" si="8"/>
        <v/>
      </c>
    </row>
    <row r="389" spans="22:22" x14ac:dyDescent="0.25">
      <c r="V389" s="6" t="str">
        <f t="shared" si="8"/>
        <v/>
      </c>
    </row>
    <row r="390" spans="22:22" x14ac:dyDescent="0.25">
      <c r="V390" s="6" t="str">
        <f t="shared" si="8"/>
        <v/>
      </c>
    </row>
    <row r="391" spans="22:22" x14ac:dyDescent="0.25">
      <c r="V391" s="6" t="str">
        <f t="shared" si="8"/>
        <v/>
      </c>
    </row>
    <row r="392" spans="22:22" x14ac:dyDescent="0.25">
      <c r="V392" s="6" t="str">
        <f t="shared" si="8"/>
        <v/>
      </c>
    </row>
    <row r="393" spans="22:22" x14ac:dyDescent="0.25">
      <c r="V393" s="6" t="str">
        <f t="shared" si="8"/>
        <v/>
      </c>
    </row>
    <row r="394" spans="22:22" x14ac:dyDescent="0.25">
      <c r="V394" s="6" t="str">
        <f t="shared" si="8"/>
        <v/>
      </c>
    </row>
    <row r="395" spans="22:22" x14ac:dyDescent="0.25">
      <c r="V395" s="6" t="str">
        <f t="shared" si="8"/>
        <v/>
      </c>
    </row>
    <row r="396" spans="22:22" x14ac:dyDescent="0.25">
      <c r="V396" s="6" t="str">
        <f t="shared" si="8"/>
        <v/>
      </c>
    </row>
    <row r="397" spans="22:22" x14ac:dyDescent="0.25">
      <c r="V397" s="6" t="str">
        <f t="shared" si="8"/>
        <v/>
      </c>
    </row>
    <row r="398" spans="22:22" x14ac:dyDescent="0.25">
      <c r="V398" s="6" t="str">
        <f t="shared" si="8"/>
        <v/>
      </c>
    </row>
    <row r="399" spans="22:22" x14ac:dyDescent="0.25">
      <c r="V399" s="6" t="str">
        <f t="shared" si="8"/>
        <v/>
      </c>
    </row>
    <row r="400" spans="22:22" x14ac:dyDescent="0.25">
      <c r="V400" s="6" t="str">
        <f t="shared" si="8"/>
        <v/>
      </c>
    </row>
    <row r="401" spans="22:22" x14ac:dyDescent="0.25">
      <c r="V401" s="6" t="str">
        <f t="shared" si="8"/>
        <v/>
      </c>
    </row>
    <row r="402" spans="22:22" x14ac:dyDescent="0.25">
      <c r="V402" s="6" t="str">
        <f t="shared" si="8"/>
        <v/>
      </c>
    </row>
    <row r="403" spans="22:22" x14ac:dyDescent="0.25">
      <c r="V403" s="6" t="str">
        <f t="shared" si="8"/>
        <v/>
      </c>
    </row>
    <row r="404" spans="22:22" x14ac:dyDescent="0.25">
      <c r="V404" s="6" t="str">
        <f t="shared" si="8"/>
        <v/>
      </c>
    </row>
    <row r="405" spans="22:22" x14ac:dyDescent="0.25">
      <c r="V405" s="6" t="str">
        <f t="shared" si="8"/>
        <v/>
      </c>
    </row>
    <row r="406" spans="22:22" x14ac:dyDescent="0.25">
      <c r="V406" s="6" t="str">
        <f t="shared" si="8"/>
        <v/>
      </c>
    </row>
    <row r="407" spans="22:22" x14ac:dyDescent="0.25">
      <c r="V407" s="6" t="str">
        <f t="shared" si="8"/>
        <v/>
      </c>
    </row>
    <row r="408" spans="22:22" x14ac:dyDescent="0.25">
      <c r="V408" s="6" t="str">
        <f t="shared" si="8"/>
        <v/>
      </c>
    </row>
    <row r="409" spans="22:22" x14ac:dyDescent="0.25">
      <c r="V409" s="6" t="str">
        <f t="shared" si="8"/>
        <v/>
      </c>
    </row>
    <row r="410" spans="22:22" x14ac:dyDescent="0.25">
      <c r="V410" s="6" t="str">
        <f t="shared" si="8"/>
        <v/>
      </c>
    </row>
    <row r="411" spans="22:22" x14ac:dyDescent="0.25">
      <c r="V411" s="6" t="str">
        <f t="shared" si="8"/>
        <v/>
      </c>
    </row>
    <row r="412" spans="22:22" x14ac:dyDescent="0.25">
      <c r="V412" s="6" t="str">
        <f t="shared" si="8"/>
        <v/>
      </c>
    </row>
    <row r="413" spans="22:22" x14ac:dyDescent="0.25">
      <c r="V413" s="6" t="str">
        <f t="shared" si="8"/>
        <v/>
      </c>
    </row>
    <row r="414" spans="22:22" x14ac:dyDescent="0.25">
      <c r="V414" s="6" t="str">
        <f t="shared" si="8"/>
        <v/>
      </c>
    </row>
    <row r="415" spans="22:22" x14ac:dyDescent="0.25">
      <c r="V415" s="6" t="str">
        <f t="shared" si="8"/>
        <v/>
      </c>
    </row>
    <row r="416" spans="22:22" x14ac:dyDescent="0.25">
      <c r="V416" s="6" t="str">
        <f t="shared" si="8"/>
        <v/>
      </c>
    </row>
    <row r="417" spans="22:22" x14ac:dyDescent="0.25">
      <c r="V417" s="6" t="str">
        <f t="shared" si="8"/>
        <v/>
      </c>
    </row>
    <row r="418" spans="22:22" x14ac:dyDescent="0.25">
      <c r="V418" s="6" t="str">
        <f t="shared" si="8"/>
        <v/>
      </c>
    </row>
    <row r="419" spans="22:22" x14ac:dyDescent="0.25">
      <c r="V419" s="6" t="str">
        <f t="shared" si="8"/>
        <v/>
      </c>
    </row>
    <row r="420" spans="22:22" x14ac:dyDescent="0.25">
      <c r="V420" s="6" t="str">
        <f t="shared" si="8"/>
        <v/>
      </c>
    </row>
    <row r="421" spans="22:22" x14ac:dyDescent="0.25">
      <c r="V421" s="6" t="str">
        <f t="shared" si="8"/>
        <v/>
      </c>
    </row>
    <row r="422" spans="22:22" x14ac:dyDescent="0.25">
      <c r="V422" s="6" t="str">
        <f t="shared" si="8"/>
        <v/>
      </c>
    </row>
    <row r="423" spans="22:22" x14ac:dyDescent="0.25">
      <c r="V423" s="6" t="str">
        <f t="shared" si="8"/>
        <v/>
      </c>
    </row>
    <row r="424" spans="22:22" x14ac:dyDescent="0.25">
      <c r="V424" s="6" t="str">
        <f t="shared" si="8"/>
        <v/>
      </c>
    </row>
    <row r="425" spans="22:22" x14ac:dyDescent="0.25">
      <c r="V425" s="6" t="str">
        <f t="shared" si="8"/>
        <v/>
      </c>
    </row>
    <row r="426" spans="22:22" x14ac:dyDescent="0.25">
      <c r="V426" s="6" t="str">
        <f t="shared" si="8"/>
        <v/>
      </c>
    </row>
    <row r="427" spans="22:22" x14ac:dyDescent="0.25">
      <c r="V427" s="6" t="str">
        <f t="shared" si="8"/>
        <v/>
      </c>
    </row>
    <row r="428" spans="22:22" x14ac:dyDescent="0.25">
      <c r="V428" s="6" t="str">
        <f t="shared" si="8"/>
        <v/>
      </c>
    </row>
    <row r="429" spans="22:22" x14ac:dyDescent="0.25">
      <c r="V429" s="6" t="str">
        <f t="shared" si="8"/>
        <v/>
      </c>
    </row>
    <row r="430" spans="22:22" x14ac:dyDescent="0.25">
      <c r="V430" s="6" t="str">
        <f t="shared" si="8"/>
        <v/>
      </c>
    </row>
    <row r="431" spans="22:22" x14ac:dyDescent="0.25">
      <c r="V431" s="6" t="str">
        <f t="shared" si="8"/>
        <v/>
      </c>
    </row>
    <row r="432" spans="22:22" x14ac:dyDescent="0.25">
      <c r="V432" s="6" t="str">
        <f t="shared" ref="V432:V495" si="9">IFERROR(DATEVALUE(D432),"")</f>
        <v/>
      </c>
    </row>
    <row r="433" spans="22:22" x14ac:dyDescent="0.25">
      <c r="V433" s="6" t="str">
        <f t="shared" si="9"/>
        <v/>
      </c>
    </row>
    <row r="434" spans="22:22" x14ac:dyDescent="0.25">
      <c r="V434" s="6" t="str">
        <f t="shared" si="9"/>
        <v/>
      </c>
    </row>
    <row r="435" spans="22:22" x14ac:dyDescent="0.25">
      <c r="V435" s="6" t="str">
        <f t="shared" si="9"/>
        <v/>
      </c>
    </row>
    <row r="436" spans="22:22" x14ac:dyDescent="0.25">
      <c r="V436" s="6" t="str">
        <f t="shared" si="9"/>
        <v/>
      </c>
    </row>
    <row r="437" spans="22:22" x14ac:dyDescent="0.25">
      <c r="V437" s="6" t="str">
        <f t="shared" si="9"/>
        <v/>
      </c>
    </row>
    <row r="438" spans="22:22" x14ac:dyDescent="0.25">
      <c r="V438" s="6" t="str">
        <f t="shared" si="9"/>
        <v/>
      </c>
    </row>
    <row r="439" spans="22:22" x14ac:dyDescent="0.25">
      <c r="V439" s="6" t="str">
        <f t="shared" si="9"/>
        <v/>
      </c>
    </row>
    <row r="440" spans="22:22" x14ac:dyDescent="0.25">
      <c r="V440" s="6" t="str">
        <f t="shared" si="9"/>
        <v/>
      </c>
    </row>
    <row r="441" spans="22:22" x14ac:dyDescent="0.25">
      <c r="V441" s="6" t="str">
        <f t="shared" si="9"/>
        <v/>
      </c>
    </row>
    <row r="442" spans="22:22" x14ac:dyDescent="0.25">
      <c r="V442" s="6" t="str">
        <f t="shared" si="9"/>
        <v/>
      </c>
    </row>
    <row r="443" spans="22:22" x14ac:dyDescent="0.25">
      <c r="V443" s="6" t="str">
        <f t="shared" si="9"/>
        <v/>
      </c>
    </row>
    <row r="444" spans="22:22" x14ac:dyDescent="0.25">
      <c r="V444" s="6" t="str">
        <f t="shared" si="9"/>
        <v/>
      </c>
    </row>
    <row r="445" spans="22:22" x14ac:dyDescent="0.25">
      <c r="V445" s="6" t="str">
        <f t="shared" si="9"/>
        <v/>
      </c>
    </row>
    <row r="446" spans="22:22" x14ac:dyDescent="0.25">
      <c r="V446" s="6" t="str">
        <f t="shared" si="9"/>
        <v/>
      </c>
    </row>
    <row r="447" spans="22:22" x14ac:dyDescent="0.25">
      <c r="V447" s="6" t="str">
        <f t="shared" si="9"/>
        <v/>
      </c>
    </row>
    <row r="448" spans="22:22" x14ac:dyDescent="0.25">
      <c r="V448" s="6" t="str">
        <f t="shared" si="9"/>
        <v/>
      </c>
    </row>
    <row r="449" spans="22:22" x14ac:dyDescent="0.25">
      <c r="V449" s="6" t="str">
        <f t="shared" si="9"/>
        <v/>
      </c>
    </row>
    <row r="450" spans="22:22" x14ac:dyDescent="0.25">
      <c r="V450" s="6" t="str">
        <f t="shared" si="9"/>
        <v/>
      </c>
    </row>
    <row r="451" spans="22:22" x14ac:dyDescent="0.25">
      <c r="V451" s="6" t="str">
        <f t="shared" si="9"/>
        <v/>
      </c>
    </row>
    <row r="452" spans="22:22" x14ac:dyDescent="0.25">
      <c r="V452" s="6" t="str">
        <f t="shared" si="9"/>
        <v/>
      </c>
    </row>
    <row r="453" spans="22:22" x14ac:dyDescent="0.25">
      <c r="V453" s="6" t="str">
        <f t="shared" si="9"/>
        <v/>
      </c>
    </row>
    <row r="454" spans="22:22" x14ac:dyDescent="0.25">
      <c r="V454" s="6" t="str">
        <f t="shared" si="9"/>
        <v/>
      </c>
    </row>
    <row r="455" spans="22:22" x14ac:dyDescent="0.25">
      <c r="V455" s="6" t="str">
        <f t="shared" si="9"/>
        <v/>
      </c>
    </row>
    <row r="456" spans="22:22" x14ac:dyDescent="0.25">
      <c r="V456" s="6" t="str">
        <f t="shared" si="9"/>
        <v/>
      </c>
    </row>
    <row r="457" spans="22:22" x14ac:dyDescent="0.25">
      <c r="V457" s="6" t="str">
        <f t="shared" si="9"/>
        <v/>
      </c>
    </row>
    <row r="458" spans="22:22" x14ac:dyDescent="0.25">
      <c r="V458" s="6" t="str">
        <f t="shared" si="9"/>
        <v/>
      </c>
    </row>
    <row r="459" spans="22:22" x14ac:dyDescent="0.25">
      <c r="V459" s="6" t="str">
        <f t="shared" si="9"/>
        <v/>
      </c>
    </row>
    <row r="460" spans="22:22" x14ac:dyDescent="0.25">
      <c r="V460" s="6" t="str">
        <f t="shared" si="9"/>
        <v/>
      </c>
    </row>
    <row r="461" spans="22:22" x14ac:dyDescent="0.25">
      <c r="V461" s="6" t="str">
        <f t="shared" si="9"/>
        <v/>
      </c>
    </row>
    <row r="462" spans="22:22" x14ac:dyDescent="0.25">
      <c r="V462" s="6" t="str">
        <f t="shared" si="9"/>
        <v/>
      </c>
    </row>
    <row r="463" spans="22:22" x14ac:dyDescent="0.25">
      <c r="V463" s="6" t="str">
        <f t="shared" si="9"/>
        <v/>
      </c>
    </row>
    <row r="464" spans="22:22" x14ac:dyDescent="0.25">
      <c r="V464" s="6" t="str">
        <f t="shared" si="9"/>
        <v/>
      </c>
    </row>
    <row r="465" spans="22:22" x14ac:dyDescent="0.25">
      <c r="V465" s="6" t="str">
        <f t="shared" si="9"/>
        <v/>
      </c>
    </row>
    <row r="466" spans="22:22" x14ac:dyDescent="0.25">
      <c r="V466" s="6" t="str">
        <f t="shared" si="9"/>
        <v/>
      </c>
    </row>
    <row r="467" spans="22:22" x14ac:dyDescent="0.25">
      <c r="V467" s="6" t="str">
        <f t="shared" si="9"/>
        <v/>
      </c>
    </row>
    <row r="468" spans="22:22" x14ac:dyDescent="0.25">
      <c r="V468" s="6" t="str">
        <f t="shared" si="9"/>
        <v/>
      </c>
    </row>
    <row r="469" spans="22:22" x14ac:dyDescent="0.25">
      <c r="V469" s="6" t="str">
        <f t="shared" si="9"/>
        <v/>
      </c>
    </row>
    <row r="470" spans="22:22" x14ac:dyDescent="0.25">
      <c r="V470" s="6" t="str">
        <f t="shared" si="9"/>
        <v/>
      </c>
    </row>
    <row r="471" spans="22:22" x14ac:dyDescent="0.25">
      <c r="V471" s="6" t="str">
        <f t="shared" si="9"/>
        <v/>
      </c>
    </row>
    <row r="472" spans="22:22" x14ac:dyDescent="0.25">
      <c r="V472" s="6" t="str">
        <f t="shared" si="9"/>
        <v/>
      </c>
    </row>
    <row r="473" spans="22:22" x14ac:dyDescent="0.25">
      <c r="V473" s="6" t="str">
        <f t="shared" si="9"/>
        <v/>
      </c>
    </row>
    <row r="474" spans="22:22" x14ac:dyDescent="0.25">
      <c r="V474" s="6" t="str">
        <f t="shared" si="9"/>
        <v/>
      </c>
    </row>
    <row r="475" spans="22:22" x14ac:dyDescent="0.25">
      <c r="V475" s="6" t="str">
        <f t="shared" si="9"/>
        <v/>
      </c>
    </row>
    <row r="476" spans="22:22" x14ac:dyDescent="0.25">
      <c r="V476" s="6" t="str">
        <f t="shared" si="9"/>
        <v/>
      </c>
    </row>
    <row r="477" spans="22:22" x14ac:dyDescent="0.25">
      <c r="V477" s="6" t="str">
        <f t="shared" si="9"/>
        <v/>
      </c>
    </row>
    <row r="478" spans="22:22" x14ac:dyDescent="0.25">
      <c r="V478" s="6" t="str">
        <f t="shared" si="9"/>
        <v/>
      </c>
    </row>
    <row r="479" spans="22:22" x14ac:dyDescent="0.25">
      <c r="V479" s="6" t="str">
        <f t="shared" si="9"/>
        <v/>
      </c>
    </row>
    <row r="480" spans="22:22" x14ac:dyDescent="0.25">
      <c r="V480" s="6" t="str">
        <f t="shared" si="9"/>
        <v/>
      </c>
    </row>
    <row r="481" spans="22:22" x14ac:dyDescent="0.25">
      <c r="V481" s="6" t="str">
        <f t="shared" si="9"/>
        <v/>
      </c>
    </row>
    <row r="482" spans="22:22" x14ac:dyDescent="0.25">
      <c r="V482" s="6" t="str">
        <f t="shared" si="9"/>
        <v/>
      </c>
    </row>
    <row r="483" spans="22:22" x14ac:dyDescent="0.25">
      <c r="V483" s="6" t="str">
        <f t="shared" si="9"/>
        <v/>
      </c>
    </row>
    <row r="484" spans="22:22" x14ac:dyDescent="0.25">
      <c r="V484" s="6" t="str">
        <f t="shared" si="9"/>
        <v/>
      </c>
    </row>
    <row r="485" spans="22:22" x14ac:dyDescent="0.25">
      <c r="V485" s="6" t="str">
        <f t="shared" si="9"/>
        <v/>
      </c>
    </row>
    <row r="486" spans="22:22" x14ac:dyDescent="0.25">
      <c r="V486" s="6" t="str">
        <f t="shared" si="9"/>
        <v/>
      </c>
    </row>
    <row r="487" spans="22:22" x14ac:dyDescent="0.25">
      <c r="V487" s="6" t="str">
        <f t="shared" si="9"/>
        <v/>
      </c>
    </row>
    <row r="488" spans="22:22" x14ac:dyDescent="0.25">
      <c r="V488" s="6" t="str">
        <f t="shared" si="9"/>
        <v/>
      </c>
    </row>
    <row r="489" spans="22:22" x14ac:dyDescent="0.25">
      <c r="V489" s="6" t="str">
        <f t="shared" si="9"/>
        <v/>
      </c>
    </row>
    <row r="490" spans="22:22" x14ac:dyDescent="0.25">
      <c r="V490" s="6" t="str">
        <f t="shared" si="9"/>
        <v/>
      </c>
    </row>
    <row r="491" spans="22:22" x14ac:dyDescent="0.25">
      <c r="V491" s="6" t="str">
        <f t="shared" si="9"/>
        <v/>
      </c>
    </row>
    <row r="492" spans="22:22" x14ac:dyDescent="0.25">
      <c r="V492" s="6" t="str">
        <f t="shared" si="9"/>
        <v/>
      </c>
    </row>
    <row r="493" spans="22:22" x14ac:dyDescent="0.25">
      <c r="V493" s="6" t="str">
        <f t="shared" si="9"/>
        <v/>
      </c>
    </row>
    <row r="494" spans="22:22" x14ac:dyDescent="0.25">
      <c r="V494" s="6" t="str">
        <f t="shared" si="9"/>
        <v/>
      </c>
    </row>
    <row r="495" spans="22:22" x14ac:dyDescent="0.25">
      <c r="V495" s="6" t="str">
        <f t="shared" si="9"/>
        <v/>
      </c>
    </row>
    <row r="496" spans="22:22" x14ac:dyDescent="0.25">
      <c r="V496" s="6" t="str">
        <f t="shared" ref="V496:V559" si="10">IFERROR(DATEVALUE(D496),"")</f>
        <v/>
      </c>
    </row>
    <row r="497" spans="22:22" x14ac:dyDescent="0.25">
      <c r="V497" s="6" t="str">
        <f t="shared" si="10"/>
        <v/>
      </c>
    </row>
    <row r="498" spans="22:22" x14ac:dyDescent="0.25">
      <c r="V498" s="6" t="str">
        <f t="shared" si="10"/>
        <v/>
      </c>
    </row>
    <row r="499" spans="22:22" x14ac:dyDescent="0.25">
      <c r="V499" s="6" t="str">
        <f t="shared" si="10"/>
        <v/>
      </c>
    </row>
    <row r="500" spans="22:22" x14ac:dyDescent="0.25">
      <c r="V500" s="6" t="str">
        <f t="shared" si="10"/>
        <v/>
      </c>
    </row>
    <row r="501" spans="22:22" x14ac:dyDescent="0.25">
      <c r="V501" s="6" t="str">
        <f t="shared" si="10"/>
        <v/>
      </c>
    </row>
    <row r="502" spans="22:22" x14ac:dyDescent="0.25">
      <c r="V502" s="6" t="str">
        <f t="shared" si="10"/>
        <v/>
      </c>
    </row>
    <row r="503" spans="22:22" x14ac:dyDescent="0.25">
      <c r="V503" s="6" t="str">
        <f t="shared" si="10"/>
        <v/>
      </c>
    </row>
    <row r="504" spans="22:22" x14ac:dyDescent="0.25">
      <c r="V504" s="6" t="str">
        <f t="shared" si="10"/>
        <v/>
      </c>
    </row>
    <row r="505" spans="22:22" x14ac:dyDescent="0.25">
      <c r="V505" s="6" t="str">
        <f t="shared" si="10"/>
        <v/>
      </c>
    </row>
    <row r="506" spans="22:22" x14ac:dyDescent="0.25">
      <c r="V506" s="6" t="str">
        <f t="shared" si="10"/>
        <v/>
      </c>
    </row>
    <row r="507" spans="22:22" x14ac:dyDescent="0.25">
      <c r="V507" s="6" t="str">
        <f t="shared" si="10"/>
        <v/>
      </c>
    </row>
    <row r="508" spans="22:22" x14ac:dyDescent="0.25">
      <c r="V508" s="6" t="str">
        <f t="shared" si="10"/>
        <v/>
      </c>
    </row>
    <row r="509" spans="22:22" x14ac:dyDescent="0.25">
      <c r="V509" s="6" t="str">
        <f t="shared" si="10"/>
        <v/>
      </c>
    </row>
    <row r="510" spans="22:22" x14ac:dyDescent="0.25">
      <c r="V510" s="6" t="str">
        <f t="shared" si="10"/>
        <v/>
      </c>
    </row>
    <row r="511" spans="22:22" x14ac:dyDescent="0.25">
      <c r="V511" s="6" t="str">
        <f t="shared" si="10"/>
        <v/>
      </c>
    </row>
    <row r="512" spans="22:22" x14ac:dyDescent="0.25">
      <c r="V512" s="6" t="str">
        <f t="shared" si="10"/>
        <v/>
      </c>
    </row>
    <row r="513" spans="22:22" x14ac:dyDescent="0.25">
      <c r="V513" s="6" t="str">
        <f t="shared" si="10"/>
        <v/>
      </c>
    </row>
    <row r="514" spans="22:22" x14ac:dyDescent="0.25">
      <c r="V514" s="6" t="str">
        <f t="shared" si="10"/>
        <v/>
      </c>
    </row>
    <row r="515" spans="22:22" x14ac:dyDescent="0.25">
      <c r="V515" s="6" t="str">
        <f t="shared" si="10"/>
        <v/>
      </c>
    </row>
    <row r="516" spans="22:22" x14ac:dyDescent="0.25">
      <c r="V516" s="6" t="str">
        <f t="shared" si="10"/>
        <v/>
      </c>
    </row>
    <row r="517" spans="22:22" x14ac:dyDescent="0.25">
      <c r="V517" s="6" t="str">
        <f t="shared" si="10"/>
        <v/>
      </c>
    </row>
    <row r="518" spans="22:22" x14ac:dyDescent="0.25">
      <c r="V518" s="6" t="str">
        <f t="shared" si="10"/>
        <v/>
      </c>
    </row>
    <row r="519" spans="22:22" x14ac:dyDescent="0.25">
      <c r="V519" s="6" t="str">
        <f t="shared" si="10"/>
        <v/>
      </c>
    </row>
    <row r="520" spans="22:22" x14ac:dyDescent="0.25">
      <c r="V520" s="6" t="str">
        <f t="shared" si="10"/>
        <v/>
      </c>
    </row>
    <row r="521" spans="22:22" x14ac:dyDescent="0.25">
      <c r="V521" s="6" t="str">
        <f t="shared" si="10"/>
        <v/>
      </c>
    </row>
    <row r="522" spans="22:22" x14ac:dyDescent="0.25">
      <c r="V522" s="6" t="str">
        <f t="shared" si="10"/>
        <v/>
      </c>
    </row>
    <row r="523" spans="22:22" x14ac:dyDescent="0.25">
      <c r="V523" s="6" t="str">
        <f t="shared" si="10"/>
        <v/>
      </c>
    </row>
    <row r="524" spans="22:22" x14ac:dyDescent="0.25">
      <c r="V524" s="6" t="str">
        <f t="shared" si="10"/>
        <v/>
      </c>
    </row>
    <row r="525" spans="22:22" x14ac:dyDescent="0.25">
      <c r="V525" s="6" t="str">
        <f t="shared" si="10"/>
        <v/>
      </c>
    </row>
    <row r="526" spans="22:22" x14ac:dyDescent="0.25">
      <c r="V526" s="6" t="str">
        <f t="shared" si="10"/>
        <v/>
      </c>
    </row>
    <row r="527" spans="22:22" x14ac:dyDescent="0.25">
      <c r="V527" s="6" t="str">
        <f t="shared" si="10"/>
        <v/>
      </c>
    </row>
    <row r="528" spans="22:22" x14ac:dyDescent="0.25">
      <c r="V528" s="6" t="str">
        <f t="shared" si="10"/>
        <v/>
      </c>
    </row>
    <row r="529" spans="22:22" x14ac:dyDescent="0.25">
      <c r="V529" s="6" t="str">
        <f t="shared" si="10"/>
        <v/>
      </c>
    </row>
    <row r="530" spans="22:22" x14ac:dyDescent="0.25">
      <c r="V530" s="6" t="str">
        <f t="shared" si="10"/>
        <v/>
      </c>
    </row>
    <row r="531" spans="22:22" x14ac:dyDescent="0.25">
      <c r="V531" s="6" t="str">
        <f t="shared" si="10"/>
        <v/>
      </c>
    </row>
    <row r="532" spans="22:22" x14ac:dyDescent="0.25">
      <c r="V532" s="6" t="str">
        <f t="shared" si="10"/>
        <v/>
      </c>
    </row>
    <row r="533" spans="22:22" x14ac:dyDescent="0.25">
      <c r="V533" s="6" t="str">
        <f t="shared" si="10"/>
        <v/>
      </c>
    </row>
    <row r="534" spans="22:22" x14ac:dyDescent="0.25">
      <c r="V534" s="6" t="str">
        <f t="shared" si="10"/>
        <v/>
      </c>
    </row>
    <row r="535" spans="22:22" x14ac:dyDescent="0.25">
      <c r="V535" s="6" t="str">
        <f t="shared" si="10"/>
        <v/>
      </c>
    </row>
    <row r="536" spans="22:22" x14ac:dyDescent="0.25">
      <c r="V536" s="6" t="str">
        <f t="shared" si="10"/>
        <v/>
      </c>
    </row>
    <row r="537" spans="22:22" x14ac:dyDescent="0.25">
      <c r="V537" s="6" t="str">
        <f t="shared" si="10"/>
        <v/>
      </c>
    </row>
    <row r="538" spans="22:22" x14ac:dyDescent="0.25">
      <c r="V538" s="6" t="str">
        <f t="shared" si="10"/>
        <v/>
      </c>
    </row>
    <row r="539" spans="22:22" x14ac:dyDescent="0.25">
      <c r="V539" s="6" t="str">
        <f t="shared" si="10"/>
        <v/>
      </c>
    </row>
    <row r="540" spans="22:22" x14ac:dyDescent="0.25">
      <c r="V540" s="6" t="str">
        <f t="shared" si="10"/>
        <v/>
      </c>
    </row>
    <row r="541" spans="22:22" x14ac:dyDescent="0.25">
      <c r="V541" s="6" t="str">
        <f t="shared" si="10"/>
        <v/>
      </c>
    </row>
    <row r="542" spans="22:22" x14ac:dyDescent="0.25">
      <c r="V542" s="6" t="str">
        <f t="shared" si="10"/>
        <v/>
      </c>
    </row>
    <row r="543" spans="22:22" x14ac:dyDescent="0.25">
      <c r="V543" s="6" t="str">
        <f t="shared" si="10"/>
        <v/>
      </c>
    </row>
    <row r="544" spans="22:22" x14ac:dyDescent="0.25">
      <c r="V544" s="6" t="str">
        <f t="shared" si="10"/>
        <v/>
      </c>
    </row>
    <row r="545" spans="22:22" x14ac:dyDescent="0.25">
      <c r="V545" s="6" t="str">
        <f t="shared" si="10"/>
        <v/>
      </c>
    </row>
    <row r="546" spans="22:22" x14ac:dyDescent="0.25">
      <c r="V546" s="6" t="str">
        <f t="shared" si="10"/>
        <v/>
      </c>
    </row>
    <row r="547" spans="22:22" x14ac:dyDescent="0.25">
      <c r="V547" s="6" t="str">
        <f t="shared" si="10"/>
        <v/>
      </c>
    </row>
    <row r="548" spans="22:22" x14ac:dyDescent="0.25">
      <c r="V548" s="6" t="str">
        <f t="shared" si="10"/>
        <v/>
      </c>
    </row>
    <row r="549" spans="22:22" x14ac:dyDescent="0.25">
      <c r="V549" s="6" t="str">
        <f t="shared" si="10"/>
        <v/>
      </c>
    </row>
    <row r="550" spans="22:22" x14ac:dyDescent="0.25">
      <c r="V550" s="6" t="str">
        <f t="shared" si="10"/>
        <v/>
      </c>
    </row>
    <row r="551" spans="22:22" x14ac:dyDescent="0.25">
      <c r="V551" s="6" t="str">
        <f t="shared" si="10"/>
        <v/>
      </c>
    </row>
    <row r="552" spans="22:22" x14ac:dyDescent="0.25">
      <c r="V552" s="6" t="str">
        <f t="shared" si="10"/>
        <v/>
      </c>
    </row>
    <row r="553" spans="22:22" x14ac:dyDescent="0.25">
      <c r="V553" s="6" t="str">
        <f t="shared" si="10"/>
        <v/>
      </c>
    </row>
    <row r="554" spans="22:22" x14ac:dyDescent="0.25">
      <c r="V554" s="6" t="str">
        <f t="shared" si="10"/>
        <v/>
      </c>
    </row>
    <row r="555" spans="22:22" x14ac:dyDescent="0.25">
      <c r="V555" s="6" t="str">
        <f t="shared" si="10"/>
        <v/>
      </c>
    </row>
    <row r="556" spans="22:22" x14ac:dyDescent="0.25">
      <c r="V556" s="6" t="str">
        <f t="shared" si="10"/>
        <v/>
      </c>
    </row>
    <row r="557" spans="22:22" x14ac:dyDescent="0.25">
      <c r="V557" s="6" t="str">
        <f t="shared" si="10"/>
        <v/>
      </c>
    </row>
    <row r="558" spans="22:22" x14ac:dyDescent="0.25">
      <c r="V558" s="6" t="str">
        <f t="shared" si="10"/>
        <v/>
      </c>
    </row>
    <row r="559" spans="22:22" x14ac:dyDescent="0.25">
      <c r="V559" s="6" t="str">
        <f t="shared" si="10"/>
        <v/>
      </c>
    </row>
    <row r="560" spans="22:22" x14ac:dyDescent="0.25">
      <c r="V560" s="6" t="str">
        <f t="shared" ref="V560:V623" si="11">IFERROR(DATEVALUE(D560),"")</f>
        <v/>
      </c>
    </row>
    <row r="561" spans="22:22" x14ac:dyDescent="0.25">
      <c r="V561" s="6" t="str">
        <f t="shared" si="11"/>
        <v/>
      </c>
    </row>
    <row r="562" spans="22:22" x14ac:dyDescent="0.25">
      <c r="V562" s="6" t="str">
        <f t="shared" si="11"/>
        <v/>
      </c>
    </row>
    <row r="563" spans="22:22" x14ac:dyDescent="0.25">
      <c r="V563" s="6" t="str">
        <f t="shared" si="11"/>
        <v/>
      </c>
    </row>
    <row r="564" spans="22:22" x14ac:dyDescent="0.25">
      <c r="V564" s="6" t="str">
        <f t="shared" si="11"/>
        <v/>
      </c>
    </row>
    <row r="565" spans="22:22" x14ac:dyDescent="0.25">
      <c r="V565" s="6" t="str">
        <f t="shared" si="11"/>
        <v/>
      </c>
    </row>
    <row r="566" spans="22:22" x14ac:dyDescent="0.25">
      <c r="V566" s="6" t="str">
        <f t="shared" si="11"/>
        <v/>
      </c>
    </row>
    <row r="567" spans="22:22" x14ac:dyDescent="0.25">
      <c r="V567" s="6" t="str">
        <f t="shared" si="11"/>
        <v/>
      </c>
    </row>
    <row r="568" spans="22:22" x14ac:dyDescent="0.25">
      <c r="V568" s="6" t="str">
        <f t="shared" si="11"/>
        <v/>
      </c>
    </row>
    <row r="569" spans="22:22" x14ac:dyDescent="0.25">
      <c r="V569" s="6" t="str">
        <f t="shared" si="11"/>
        <v/>
      </c>
    </row>
    <row r="570" spans="22:22" x14ac:dyDescent="0.25">
      <c r="V570" s="6" t="str">
        <f t="shared" si="11"/>
        <v/>
      </c>
    </row>
    <row r="571" spans="22:22" x14ac:dyDescent="0.25">
      <c r="V571" s="6" t="str">
        <f t="shared" si="11"/>
        <v/>
      </c>
    </row>
    <row r="572" spans="22:22" x14ac:dyDescent="0.25">
      <c r="V572" s="6" t="str">
        <f t="shared" si="11"/>
        <v/>
      </c>
    </row>
    <row r="573" spans="22:22" x14ac:dyDescent="0.25">
      <c r="V573" s="6" t="str">
        <f t="shared" si="11"/>
        <v/>
      </c>
    </row>
    <row r="574" spans="22:22" x14ac:dyDescent="0.25">
      <c r="V574" s="6" t="str">
        <f t="shared" si="11"/>
        <v/>
      </c>
    </row>
    <row r="575" spans="22:22" x14ac:dyDescent="0.25">
      <c r="V575" s="6" t="str">
        <f t="shared" si="11"/>
        <v/>
      </c>
    </row>
    <row r="576" spans="22:22" x14ac:dyDescent="0.25">
      <c r="V576" s="6" t="str">
        <f t="shared" si="11"/>
        <v/>
      </c>
    </row>
    <row r="577" spans="22:22" x14ac:dyDescent="0.25">
      <c r="V577" s="6" t="str">
        <f t="shared" si="11"/>
        <v/>
      </c>
    </row>
    <row r="578" spans="22:22" x14ac:dyDescent="0.25">
      <c r="V578" s="6" t="str">
        <f t="shared" si="11"/>
        <v/>
      </c>
    </row>
    <row r="579" spans="22:22" x14ac:dyDescent="0.25">
      <c r="V579" s="6" t="str">
        <f t="shared" si="11"/>
        <v/>
      </c>
    </row>
    <row r="580" spans="22:22" x14ac:dyDescent="0.25">
      <c r="V580" s="6" t="str">
        <f t="shared" si="11"/>
        <v/>
      </c>
    </row>
    <row r="581" spans="22:22" x14ac:dyDescent="0.25">
      <c r="V581" s="6" t="str">
        <f t="shared" si="11"/>
        <v/>
      </c>
    </row>
    <row r="582" spans="22:22" x14ac:dyDescent="0.25">
      <c r="V582" s="6" t="str">
        <f t="shared" si="11"/>
        <v/>
      </c>
    </row>
    <row r="583" spans="22:22" x14ac:dyDescent="0.25">
      <c r="V583" s="6" t="str">
        <f t="shared" si="11"/>
        <v/>
      </c>
    </row>
    <row r="584" spans="22:22" x14ac:dyDescent="0.25">
      <c r="V584" s="6" t="str">
        <f t="shared" si="11"/>
        <v/>
      </c>
    </row>
    <row r="585" spans="22:22" x14ac:dyDescent="0.25">
      <c r="V585" s="6" t="str">
        <f t="shared" si="11"/>
        <v/>
      </c>
    </row>
    <row r="586" spans="22:22" x14ac:dyDescent="0.25">
      <c r="V586" s="6" t="str">
        <f t="shared" si="11"/>
        <v/>
      </c>
    </row>
    <row r="587" spans="22:22" x14ac:dyDescent="0.25">
      <c r="V587" s="6" t="str">
        <f t="shared" si="11"/>
        <v/>
      </c>
    </row>
    <row r="588" spans="22:22" x14ac:dyDescent="0.25">
      <c r="V588" s="6" t="str">
        <f t="shared" si="11"/>
        <v/>
      </c>
    </row>
    <row r="589" spans="22:22" x14ac:dyDescent="0.25">
      <c r="V589" s="6" t="str">
        <f t="shared" si="11"/>
        <v/>
      </c>
    </row>
    <row r="590" spans="22:22" x14ac:dyDescent="0.25">
      <c r="V590" s="6" t="str">
        <f t="shared" si="11"/>
        <v/>
      </c>
    </row>
    <row r="591" spans="22:22" x14ac:dyDescent="0.25">
      <c r="V591" s="6" t="str">
        <f t="shared" si="11"/>
        <v/>
      </c>
    </row>
    <row r="592" spans="22:22" x14ac:dyDescent="0.25">
      <c r="V592" s="6" t="str">
        <f t="shared" si="11"/>
        <v/>
      </c>
    </row>
    <row r="593" spans="22:22" x14ac:dyDescent="0.25">
      <c r="V593" s="6" t="str">
        <f t="shared" si="11"/>
        <v/>
      </c>
    </row>
    <row r="594" spans="22:22" x14ac:dyDescent="0.25">
      <c r="V594" s="6" t="str">
        <f t="shared" si="11"/>
        <v/>
      </c>
    </row>
    <row r="595" spans="22:22" x14ac:dyDescent="0.25">
      <c r="V595" s="6" t="str">
        <f t="shared" si="11"/>
        <v/>
      </c>
    </row>
    <row r="596" spans="22:22" x14ac:dyDescent="0.25">
      <c r="V596" s="6" t="str">
        <f t="shared" si="11"/>
        <v/>
      </c>
    </row>
    <row r="597" spans="22:22" x14ac:dyDescent="0.25">
      <c r="V597" s="6" t="str">
        <f t="shared" si="11"/>
        <v/>
      </c>
    </row>
    <row r="598" spans="22:22" x14ac:dyDescent="0.25">
      <c r="V598" s="6" t="str">
        <f t="shared" si="11"/>
        <v/>
      </c>
    </row>
    <row r="599" spans="22:22" x14ac:dyDescent="0.25">
      <c r="V599" s="6" t="str">
        <f t="shared" si="11"/>
        <v/>
      </c>
    </row>
    <row r="600" spans="22:22" x14ac:dyDescent="0.25">
      <c r="V600" s="6" t="str">
        <f t="shared" si="11"/>
        <v/>
      </c>
    </row>
    <row r="601" spans="22:22" x14ac:dyDescent="0.25">
      <c r="V601" s="6" t="str">
        <f t="shared" si="11"/>
        <v/>
      </c>
    </row>
    <row r="602" spans="22:22" x14ac:dyDescent="0.25">
      <c r="V602" s="6" t="str">
        <f t="shared" si="11"/>
        <v/>
      </c>
    </row>
    <row r="603" spans="22:22" x14ac:dyDescent="0.25">
      <c r="V603" s="6" t="str">
        <f t="shared" si="11"/>
        <v/>
      </c>
    </row>
    <row r="604" spans="22:22" x14ac:dyDescent="0.25">
      <c r="V604" s="6" t="str">
        <f t="shared" si="11"/>
        <v/>
      </c>
    </row>
    <row r="605" spans="22:22" x14ac:dyDescent="0.25">
      <c r="V605" s="6" t="str">
        <f t="shared" si="11"/>
        <v/>
      </c>
    </row>
    <row r="606" spans="22:22" x14ac:dyDescent="0.25">
      <c r="V606" s="6" t="str">
        <f t="shared" si="11"/>
        <v/>
      </c>
    </row>
    <row r="607" spans="22:22" x14ac:dyDescent="0.25">
      <c r="V607" s="6" t="str">
        <f t="shared" si="11"/>
        <v/>
      </c>
    </row>
    <row r="608" spans="22:22" x14ac:dyDescent="0.25">
      <c r="V608" s="6" t="str">
        <f t="shared" si="11"/>
        <v/>
      </c>
    </row>
    <row r="609" spans="22:22" x14ac:dyDescent="0.25">
      <c r="V609" s="6" t="str">
        <f t="shared" si="11"/>
        <v/>
      </c>
    </row>
    <row r="610" spans="22:22" x14ac:dyDescent="0.25">
      <c r="V610" s="6" t="str">
        <f t="shared" si="11"/>
        <v/>
      </c>
    </row>
    <row r="611" spans="22:22" x14ac:dyDescent="0.25">
      <c r="V611" s="6" t="str">
        <f t="shared" si="11"/>
        <v/>
      </c>
    </row>
    <row r="612" spans="22:22" x14ac:dyDescent="0.25">
      <c r="V612" s="6" t="str">
        <f t="shared" si="11"/>
        <v/>
      </c>
    </row>
    <row r="613" spans="22:22" x14ac:dyDescent="0.25">
      <c r="V613" s="6" t="str">
        <f t="shared" si="11"/>
        <v/>
      </c>
    </row>
    <row r="614" spans="22:22" x14ac:dyDescent="0.25">
      <c r="V614" s="6" t="str">
        <f t="shared" si="11"/>
        <v/>
      </c>
    </row>
    <row r="615" spans="22:22" x14ac:dyDescent="0.25">
      <c r="V615" s="6" t="str">
        <f t="shared" si="11"/>
        <v/>
      </c>
    </row>
    <row r="616" spans="22:22" x14ac:dyDescent="0.25">
      <c r="V616" s="6" t="str">
        <f t="shared" si="11"/>
        <v/>
      </c>
    </row>
    <row r="617" spans="22:22" x14ac:dyDescent="0.25">
      <c r="V617" s="6" t="str">
        <f t="shared" si="11"/>
        <v/>
      </c>
    </row>
    <row r="618" spans="22:22" x14ac:dyDescent="0.25">
      <c r="V618" s="6" t="str">
        <f t="shared" si="11"/>
        <v/>
      </c>
    </row>
    <row r="619" spans="22:22" x14ac:dyDescent="0.25">
      <c r="V619" s="6" t="str">
        <f t="shared" si="11"/>
        <v/>
      </c>
    </row>
    <row r="620" spans="22:22" x14ac:dyDescent="0.25">
      <c r="V620" s="6" t="str">
        <f t="shared" si="11"/>
        <v/>
      </c>
    </row>
    <row r="621" spans="22:22" x14ac:dyDescent="0.25">
      <c r="V621" s="6" t="str">
        <f t="shared" si="11"/>
        <v/>
      </c>
    </row>
    <row r="622" spans="22:22" x14ac:dyDescent="0.25">
      <c r="V622" s="6" t="str">
        <f t="shared" si="11"/>
        <v/>
      </c>
    </row>
    <row r="623" spans="22:22" x14ac:dyDescent="0.25">
      <c r="V623" s="6" t="str">
        <f t="shared" si="11"/>
        <v/>
      </c>
    </row>
    <row r="624" spans="22:22" x14ac:dyDescent="0.25">
      <c r="V624" s="6" t="str">
        <f t="shared" ref="V624:V687" si="12">IFERROR(DATEVALUE(D624),"")</f>
        <v/>
      </c>
    </row>
    <row r="625" spans="22:22" x14ac:dyDescent="0.25">
      <c r="V625" s="6" t="str">
        <f t="shared" si="12"/>
        <v/>
      </c>
    </row>
    <row r="626" spans="22:22" x14ac:dyDescent="0.25">
      <c r="V626" s="6" t="str">
        <f t="shared" si="12"/>
        <v/>
      </c>
    </row>
    <row r="627" spans="22:22" x14ac:dyDescent="0.25">
      <c r="V627" s="6" t="str">
        <f t="shared" si="12"/>
        <v/>
      </c>
    </row>
    <row r="628" spans="22:22" x14ac:dyDescent="0.25">
      <c r="V628" s="6" t="str">
        <f t="shared" si="12"/>
        <v/>
      </c>
    </row>
    <row r="629" spans="22:22" x14ac:dyDescent="0.25">
      <c r="V629" s="6" t="str">
        <f t="shared" si="12"/>
        <v/>
      </c>
    </row>
    <row r="630" spans="22:22" x14ac:dyDescent="0.25">
      <c r="V630" s="6" t="str">
        <f t="shared" si="12"/>
        <v/>
      </c>
    </row>
    <row r="631" spans="22:22" x14ac:dyDescent="0.25">
      <c r="V631" s="6" t="str">
        <f t="shared" si="12"/>
        <v/>
      </c>
    </row>
    <row r="632" spans="22:22" x14ac:dyDescent="0.25">
      <c r="V632" s="6" t="str">
        <f t="shared" si="12"/>
        <v/>
      </c>
    </row>
    <row r="633" spans="22:22" x14ac:dyDescent="0.25">
      <c r="V633" s="6" t="str">
        <f t="shared" si="12"/>
        <v/>
      </c>
    </row>
    <row r="634" spans="22:22" x14ac:dyDescent="0.25">
      <c r="V634" s="6" t="str">
        <f t="shared" si="12"/>
        <v/>
      </c>
    </row>
    <row r="635" spans="22:22" x14ac:dyDescent="0.25">
      <c r="V635" s="6" t="str">
        <f t="shared" si="12"/>
        <v/>
      </c>
    </row>
    <row r="636" spans="22:22" x14ac:dyDescent="0.25">
      <c r="V636" s="6" t="str">
        <f t="shared" si="12"/>
        <v/>
      </c>
    </row>
    <row r="637" spans="22:22" x14ac:dyDescent="0.25">
      <c r="V637" s="6" t="str">
        <f t="shared" si="12"/>
        <v/>
      </c>
    </row>
    <row r="638" spans="22:22" x14ac:dyDescent="0.25">
      <c r="V638" s="6" t="str">
        <f t="shared" si="12"/>
        <v/>
      </c>
    </row>
    <row r="639" spans="22:22" x14ac:dyDescent="0.25">
      <c r="V639" s="6" t="str">
        <f t="shared" si="12"/>
        <v/>
      </c>
    </row>
    <row r="640" spans="22:22" x14ac:dyDescent="0.25">
      <c r="V640" s="6" t="str">
        <f t="shared" si="12"/>
        <v/>
      </c>
    </row>
    <row r="641" spans="22:22" x14ac:dyDescent="0.25">
      <c r="V641" s="6" t="str">
        <f t="shared" si="12"/>
        <v/>
      </c>
    </row>
    <row r="642" spans="22:22" x14ac:dyDescent="0.25">
      <c r="V642" s="6" t="str">
        <f t="shared" si="12"/>
        <v/>
      </c>
    </row>
    <row r="643" spans="22:22" x14ac:dyDescent="0.25">
      <c r="V643" s="6" t="str">
        <f t="shared" si="12"/>
        <v/>
      </c>
    </row>
    <row r="644" spans="22:22" x14ac:dyDescent="0.25">
      <c r="V644" s="6" t="str">
        <f t="shared" si="12"/>
        <v/>
      </c>
    </row>
    <row r="645" spans="22:22" x14ac:dyDescent="0.25">
      <c r="V645" s="6" t="str">
        <f t="shared" si="12"/>
        <v/>
      </c>
    </row>
    <row r="646" spans="22:22" x14ac:dyDescent="0.25">
      <c r="V646" s="6" t="str">
        <f t="shared" si="12"/>
        <v/>
      </c>
    </row>
    <row r="647" spans="22:22" x14ac:dyDescent="0.25">
      <c r="V647" s="6" t="str">
        <f t="shared" si="12"/>
        <v/>
      </c>
    </row>
    <row r="648" spans="22:22" x14ac:dyDescent="0.25">
      <c r="V648" s="6" t="str">
        <f t="shared" si="12"/>
        <v/>
      </c>
    </row>
    <row r="649" spans="22:22" x14ac:dyDescent="0.25">
      <c r="V649" s="6" t="str">
        <f t="shared" si="12"/>
        <v/>
      </c>
    </row>
    <row r="650" spans="22:22" x14ac:dyDescent="0.25">
      <c r="V650" s="6" t="str">
        <f t="shared" si="12"/>
        <v/>
      </c>
    </row>
    <row r="651" spans="22:22" x14ac:dyDescent="0.25">
      <c r="V651" s="6" t="str">
        <f t="shared" si="12"/>
        <v/>
      </c>
    </row>
    <row r="652" spans="22:22" x14ac:dyDescent="0.25">
      <c r="V652" s="6" t="str">
        <f t="shared" si="12"/>
        <v/>
      </c>
    </row>
    <row r="653" spans="22:22" x14ac:dyDescent="0.25">
      <c r="V653" s="6" t="str">
        <f t="shared" si="12"/>
        <v/>
      </c>
    </row>
    <row r="654" spans="22:22" x14ac:dyDescent="0.25">
      <c r="V654" s="6" t="str">
        <f t="shared" si="12"/>
        <v/>
      </c>
    </row>
    <row r="655" spans="22:22" x14ac:dyDescent="0.25">
      <c r="V655" s="6" t="str">
        <f t="shared" si="12"/>
        <v/>
      </c>
    </row>
    <row r="656" spans="22:22" x14ac:dyDescent="0.25">
      <c r="V656" s="6" t="str">
        <f t="shared" si="12"/>
        <v/>
      </c>
    </row>
    <row r="657" spans="22:22" x14ac:dyDescent="0.25">
      <c r="V657" s="6" t="str">
        <f t="shared" si="12"/>
        <v/>
      </c>
    </row>
    <row r="658" spans="22:22" x14ac:dyDescent="0.25">
      <c r="V658" s="6" t="str">
        <f t="shared" si="12"/>
        <v/>
      </c>
    </row>
    <row r="659" spans="22:22" x14ac:dyDescent="0.25">
      <c r="V659" s="6" t="str">
        <f t="shared" si="12"/>
        <v/>
      </c>
    </row>
    <row r="660" spans="22:22" x14ac:dyDescent="0.25">
      <c r="V660" s="6" t="str">
        <f t="shared" si="12"/>
        <v/>
      </c>
    </row>
    <row r="661" spans="22:22" x14ac:dyDescent="0.25">
      <c r="V661" s="6" t="str">
        <f t="shared" si="12"/>
        <v/>
      </c>
    </row>
    <row r="662" spans="22:22" x14ac:dyDescent="0.25">
      <c r="V662" s="6" t="str">
        <f t="shared" si="12"/>
        <v/>
      </c>
    </row>
    <row r="663" spans="22:22" x14ac:dyDescent="0.25">
      <c r="V663" s="6" t="str">
        <f t="shared" si="12"/>
        <v/>
      </c>
    </row>
    <row r="664" spans="22:22" x14ac:dyDescent="0.25">
      <c r="V664" s="6" t="str">
        <f t="shared" si="12"/>
        <v/>
      </c>
    </row>
    <row r="665" spans="22:22" x14ac:dyDescent="0.25">
      <c r="V665" s="6" t="str">
        <f t="shared" si="12"/>
        <v/>
      </c>
    </row>
    <row r="666" spans="22:22" x14ac:dyDescent="0.25">
      <c r="V666" s="6" t="str">
        <f t="shared" si="12"/>
        <v/>
      </c>
    </row>
    <row r="667" spans="22:22" x14ac:dyDescent="0.25">
      <c r="V667" s="6" t="str">
        <f t="shared" si="12"/>
        <v/>
      </c>
    </row>
    <row r="668" spans="22:22" x14ac:dyDescent="0.25">
      <c r="V668" s="6" t="str">
        <f t="shared" si="12"/>
        <v/>
      </c>
    </row>
    <row r="669" spans="22:22" x14ac:dyDescent="0.25">
      <c r="V669" s="6" t="str">
        <f t="shared" si="12"/>
        <v/>
      </c>
    </row>
    <row r="670" spans="22:22" x14ac:dyDescent="0.25">
      <c r="V670" s="6" t="str">
        <f t="shared" si="12"/>
        <v/>
      </c>
    </row>
    <row r="671" spans="22:22" x14ac:dyDescent="0.25">
      <c r="V671" s="6" t="str">
        <f t="shared" si="12"/>
        <v/>
      </c>
    </row>
    <row r="672" spans="22:22" x14ac:dyDescent="0.25">
      <c r="V672" s="6" t="str">
        <f t="shared" si="12"/>
        <v/>
      </c>
    </row>
    <row r="673" spans="22:22" x14ac:dyDescent="0.25">
      <c r="V673" s="6" t="str">
        <f t="shared" si="12"/>
        <v/>
      </c>
    </row>
    <row r="674" spans="22:22" x14ac:dyDescent="0.25">
      <c r="V674" s="6" t="str">
        <f t="shared" si="12"/>
        <v/>
      </c>
    </row>
    <row r="675" spans="22:22" x14ac:dyDescent="0.25">
      <c r="V675" s="6" t="str">
        <f t="shared" si="12"/>
        <v/>
      </c>
    </row>
    <row r="676" spans="22:22" x14ac:dyDescent="0.25">
      <c r="V676" s="6" t="str">
        <f t="shared" si="12"/>
        <v/>
      </c>
    </row>
    <row r="677" spans="22:22" x14ac:dyDescent="0.25">
      <c r="V677" s="6" t="str">
        <f t="shared" si="12"/>
        <v/>
      </c>
    </row>
    <row r="678" spans="22:22" x14ac:dyDescent="0.25">
      <c r="V678" s="6" t="str">
        <f t="shared" si="12"/>
        <v/>
      </c>
    </row>
    <row r="679" spans="22:22" x14ac:dyDescent="0.25">
      <c r="V679" s="6" t="str">
        <f t="shared" si="12"/>
        <v/>
      </c>
    </row>
    <row r="680" spans="22:22" x14ac:dyDescent="0.25">
      <c r="V680" s="6" t="str">
        <f t="shared" si="12"/>
        <v/>
      </c>
    </row>
    <row r="681" spans="22:22" x14ac:dyDescent="0.25">
      <c r="V681" s="6" t="str">
        <f t="shared" si="12"/>
        <v/>
      </c>
    </row>
    <row r="682" spans="22:22" x14ac:dyDescent="0.25">
      <c r="V682" s="6" t="str">
        <f t="shared" si="12"/>
        <v/>
      </c>
    </row>
    <row r="683" spans="22:22" x14ac:dyDescent="0.25">
      <c r="V683" s="6" t="str">
        <f t="shared" si="12"/>
        <v/>
      </c>
    </row>
    <row r="684" spans="22:22" x14ac:dyDescent="0.25">
      <c r="V684" s="6" t="str">
        <f t="shared" si="12"/>
        <v/>
      </c>
    </row>
    <row r="685" spans="22:22" x14ac:dyDescent="0.25">
      <c r="V685" s="6" t="str">
        <f t="shared" si="12"/>
        <v/>
      </c>
    </row>
    <row r="686" spans="22:22" x14ac:dyDescent="0.25">
      <c r="V686" s="6" t="str">
        <f t="shared" si="12"/>
        <v/>
      </c>
    </row>
    <row r="687" spans="22:22" x14ac:dyDescent="0.25">
      <c r="V687" s="6" t="str">
        <f t="shared" si="12"/>
        <v/>
      </c>
    </row>
    <row r="688" spans="22:22" x14ac:dyDescent="0.25">
      <c r="V688" s="6" t="str">
        <f t="shared" ref="V688:V751" si="13">IFERROR(DATEVALUE(D688),"")</f>
        <v/>
      </c>
    </row>
    <row r="689" spans="22:22" x14ac:dyDescent="0.25">
      <c r="V689" s="6" t="str">
        <f t="shared" si="13"/>
        <v/>
      </c>
    </row>
    <row r="690" spans="22:22" x14ac:dyDescent="0.25">
      <c r="V690" s="6" t="str">
        <f t="shared" si="13"/>
        <v/>
      </c>
    </row>
    <row r="691" spans="22:22" x14ac:dyDescent="0.25">
      <c r="V691" s="6" t="str">
        <f t="shared" si="13"/>
        <v/>
      </c>
    </row>
    <row r="692" spans="22:22" x14ac:dyDescent="0.25">
      <c r="V692" s="6" t="str">
        <f t="shared" si="13"/>
        <v/>
      </c>
    </row>
    <row r="693" spans="22:22" x14ac:dyDescent="0.25">
      <c r="V693" s="6" t="str">
        <f t="shared" si="13"/>
        <v/>
      </c>
    </row>
    <row r="694" spans="22:22" x14ac:dyDescent="0.25">
      <c r="V694" s="6" t="str">
        <f t="shared" si="13"/>
        <v/>
      </c>
    </row>
    <row r="695" spans="22:22" x14ac:dyDescent="0.25">
      <c r="V695" s="6" t="str">
        <f t="shared" si="13"/>
        <v/>
      </c>
    </row>
    <row r="696" spans="22:22" x14ac:dyDescent="0.25">
      <c r="V696" s="6" t="str">
        <f t="shared" si="13"/>
        <v/>
      </c>
    </row>
    <row r="697" spans="22:22" x14ac:dyDescent="0.25">
      <c r="V697" s="6" t="str">
        <f t="shared" si="13"/>
        <v/>
      </c>
    </row>
    <row r="698" spans="22:22" x14ac:dyDescent="0.25">
      <c r="V698" s="6" t="str">
        <f t="shared" si="13"/>
        <v/>
      </c>
    </row>
    <row r="699" spans="22:22" x14ac:dyDescent="0.25">
      <c r="V699" s="6" t="str">
        <f t="shared" si="13"/>
        <v/>
      </c>
    </row>
    <row r="700" spans="22:22" x14ac:dyDescent="0.25">
      <c r="V700" s="6" t="str">
        <f t="shared" si="13"/>
        <v/>
      </c>
    </row>
    <row r="701" spans="22:22" x14ac:dyDescent="0.25">
      <c r="V701" s="6" t="str">
        <f t="shared" si="13"/>
        <v/>
      </c>
    </row>
    <row r="702" spans="22:22" x14ac:dyDescent="0.25">
      <c r="V702" s="6" t="str">
        <f t="shared" si="13"/>
        <v/>
      </c>
    </row>
    <row r="703" spans="22:22" x14ac:dyDescent="0.25">
      <c r="V703" s="6" t="str">
        <f t="shared" si="13"/>
        <v/>
      </c>
    </row>
    <row r="704" spans="22:22" x14ac:dyDescent="0.25">
      <c r="V704" s="6" t="str">
        <f t="shared" si="13"/>
        <v/>
      </c>
    </row>
    <row r="705" spans="22:22" x14ac:dyDescent="0.25">
      <c r="V705" s="6" t="str">
        <f t="shared" si="13"/>
        <v/>
      </c>
    </row>
    <row r="706" spans="22:22" x14ac:dyDescent="0.25">
      <c r="V706" s="6" t="str">
        <f t="shared" si="13"/>
        <v/>
      </c>
    </row>
    <row r="707" spans="22:22" x14ac:dyDescent="0.25">
      <c r="V707" s="6" t="str">
        <f t="shared" si="13"/>
        <v/>
      </c>
    </row>
    <row r="708" spans="22:22" x14ac:dyDescent="0.25">
      <c r="V708" s="6" t="str">
        <f t="shared" si="13"/>
        <v/>
      </c>
    </row>
    <row r="709" spans="22:22" x14ac:dyDescent="0.25">
      <c r="V709" s="6" t="str">
        <f t="shared" si="13"/>
        <v/>
      </c>
    </row>
    <row r="710" spans="22:22" x14ac:dyDescent="0.25">
      <c r="V710" s="6" t="str">
        <f t="shared" si="13"/>
        <v/>
      </c>
    </row>
    <row r="711" spans="22:22" x14ac:dyDescent="0.25">
      <c r="V711" s="6" t="str">
        <f t="shared" si="13"/>
        <v/>
      </c>
    </row>
    <row r="712" spans="22:22" x14ac:dyDescent="0.25">
      <c r="V712" s="6" t="str">
        <f t="shared" si="13"/>
        <v/>
      </c>
    </row>
    <row r="713" spans="22:22" x14ac:dyDescent="0.25">
      <c r="V713" s="6" t="str">
        <f t="shared" si="13"/>
        <v/>
      </c>
    </row>
    <row r="714" spans="22:22" x14ac:dyDescent="0.25">
      <c r="V714" s="6" t="str">
        <f t="shared" si="13"/>
        <v/>
      </c>
    </row>
    <row r="715" spans="22:22" x14ac:dyDescent="0.25">
      <c r="V715" s="6" t="str">
        <f t="shared" si="13"/>
        <v/>
      </c>
    </row>
    <row r="716" spans="22:22" x14ac:dyDescent="0.25">
      <c r="V716" s="6" t="str">
        <f t="shared" si="13"/>
        <v/>
      </c>
    </row>
    <row r="717" spans="22:22" x14ac:dyDescent="0.25">
      <c r="V717" s="6" t="str">
        <f t="shared" si="13"/>
        <v/>
      </c>
    </row>
    <row r="718" spans="22:22" x14ac:dyDescent="0.25">
      <c r="V718" s="6" t="str">
        <f t="shared" si="13"/>
        <v/>
      </c>
    </row>
    <row r="719" spans="22:22" x14ac:dyDescent="0.25">
      <c r="V719" s="6" t="str">
        <f t="shared" si="13"/>
        <v/>
      </c>
    </row>
    <row r="720" spans="22:22" x14ac:dyDescent="0.25">
      <c r="V720" s="6" t="str">
        <f t="shared" si="13"/>
        <v/>
      </c>
    </row>
    <row r="721" spans="22:22" x14ac:dyDescent="0.25">
      <c r="V721" s="6" t="str">
        <f t="shared" si="13"/>
        <v/>
      </c>
    </row>
    <row r="722" spans="22:22" x14ac:dyDescent="0.25">
      <c r="V722" s="6" t="str">
        <f t="shared" si="13"/>
        <v/>
      </c>
    </row>
    <row r="723" spans="22:22" x14ac:dyDescent="0.25">
      <c r="V723" s="6" t="str">
        <f t="shared" si="13"/>
        <v/>
      </c>
    </row>
    <row r="724" spans="22:22" x14ac:dyDescent="0.25">
      <c r="V724" s="6" t="str">
        <f t="shared" si="13"/>
        <v/>
      </c>
    </row>
    <row r="725" spans="22:22" x14ac:dyDescent="0.25">
      <c r="V725" s="6" t="str">
        <f t="shared" si="13"/>
        <v/>
      </c>
    </row>
    <row r="726" spans="22:22" x14ac:dyDescent="0.25">
      <c r="V726" s="6" t="str">
        <f t="shared" si="13"/>
        <v/>
      </c>
    </row>
    <row r="727" spans="22:22" x14ac:dyDescent="0.25">
      <c r="V727" s="6" t="str">
        <f t="shared" si="13"/>
        <v/>
      </c>
    </row>
    <row r="728" spans="22:22" x14ac:dyDescent="0.25">
      <c r="V728" s="6" t="str">
        <f t="shared" si="13"/>
        <v/>
      </c>
    </row>
    <row r="729" spans="22:22" x14ac:dyDescent="0.25">
      <c r="V729" s="6" t="str">
        <f t="shared" si="13"/>
        <v/>
      </c>
    </row>
    <row r="730" spans="22:22" x14ac:dyDescent="0.25">
      <c r="V730" s="6" t="str">
        <f t="shared" si="13"/>
        <v/>
      </c>
    </row>
    <row r="731" spans="22:22" x14ac:dyDescent="0.25">
      <c r="V731" s="6" t="str">
        <f t="shared" si="13"/>
        <v/>
      </c>
    </row>
    <row r="732" spans="22:22" x14ac:dyDescent="0.25">
      <c r="V732" s="6" t="str">
        <f t="shared" si="13"/>
        <v/>
      </c>
    </row>
    <row r="733" spans="22:22" x14ac:dyDescent="0.25">
      <c r="V733" s="6" t="str">
        <f t="shared" si="13"/>
        <v/>
      </c>
    </row>
    <row r="734" spans="22:22" x14ac:dyDescent="0.25">
      <c r="V734" s="6" t="str">
        <f t="shared" si="13"/>
        <v/>
      </c>
    </row>
    <row r="735" spans="22:22" x14ac:dyDescent="0.25">
      <c r="V735" s="6" t="str">
        <f t="shared" si="13"/>
        <v/>
      </c>
    </row>
    <row r="736" spans="22:22" x14ac:dyDescent="0.25">
      <c r="V736" s="6" t="str">
        <f t="shared" si="13"/>
        <v/>
      </c>
    </row>
    <row r="737" spans="22:22" x14ac:dyDescent="0.25">
      <c r="V737" s="6" t="str">
        <f t="shared" si="13"/>
        <v/>
      </c>
    </row>
    <row r="738" spans="22:22" x14ac:dyDescent="0.25">
      <c r="V738" s="6" t="str">
        <f t="shared" si="13"/>
        <v/>
      </c>
    </row>
    <row r="739" spans="22:22" x14ac:dyDescent="0.25">
      <c r="V739" s="6" t="str">
        <f t="shared" si="13"/>
        <v/>
      </c>
    </row>
    <row r="740" spans="22:22" x14ac:dyDescent="0.25">
      <c r="V740" s="6" t="str">
        <f t="shared" si="13"/>
        <v/>
      </c>
    </row>
    <row r="741" spans="22:22" x14ac:dyDescent="0.25">
      <c r="V741" s="6" t="str">
        <f t="shared" si="13"/>
        <v/>
      </c>
    </row>
    <row r="742" spans="22:22" x14ac:dyDescent="0.25">
      <c r="V742" s="6" t="str">
        <f t="shared" si="13"/>
        <v/>
      </c>
    </row>
    <row r="743" spans="22:22" x14ac:dyDescent="0.25">
      <c r="V743" s="6" t="str">
        <f t="shared" si="13"/>
        <v/>
      </c>
    </row>
    <row r="744" spans="22:22" x14ac:dyDescent="0.25">
      <c r="V744" s="6" t="str">
        <f t="shared" si="13"/>
        <v/>
      </c>
    </row>
    <row r="745" spans="22:22" x14ac:dyDescent="0.25">
      <c r="V745" s="6" t="str">
        <f t="shared" si="13"/>
        <v/>
      </c>
    </row>
    <row r="746" spans="22:22" x14ac:dyDescent="0.25">
      <c r="V746" s="6" t="str">
        <f t="shared" si="13"/>
        <v/>
      </c>
    </row>
    <row r="747" spans="22:22" x14ac:dyDescent="0.25">
      <c r="V747" s="6" t="str">
        <f t="shared" si="13"/>
        <v/>
      </c>
    </row>
    <row r="748" spans="22:22" x14ac:dyDescent="0.25">
      <c r="V748" s="6" t="str">
        <f t="shared" si="13"/>
        <v/>
      </c>
    </row>
    <row r="749" spans="22:22" x14ac:dyDescent="0.25">
      <c r="V749" s="6" t="str">
        <f t="shared" si="13"/>
        <v/>
      </c>
    </row>
    <row r="750" spans="22:22" x14ac:dyDescent="0.25">
      <c r="V750" s="6" t="str">
        <f t="shared" si="13"/>
        <v/>
      </c>
    </row>
    <row r="751" spans="22:22" x14ac:dyDescent="0.25">
      <c r="V751" s="6" t="str">
        <f t="shared" si="13"/>
        <v/>
      </c>
    </row>
    <row r="752" spans="22:22" x14ac:dyDescent="0.25">
      <c r="V752" s="6" t="str">
        <f t="shared" ref="V752:V815" si="14">IFERROR(DATEVALUE(D752),"")</f>
        <v/>
      </c>
    </row>
    <row r="753" spans="22:22" x14ac:dyDescent="0.25">
      <c r="V753" s="6" t="str">
        <f t="shared" si="14"/>
        <v/>
      </c>
    </row>
    <row r="754" spans="22:22" x14ac:dyDescent="0.25">
      <c r="V754" s="6" t="str">
        <f t="shared" si="14"/>
        <v/>
      </c>
    </row>
    <row r="755" spans="22:22" x14ac:dyDescent="0.25">
      <c r="V755" s="6" t="str">
        <f t="shared" si="14"/>
        <v/>
      </c>
    </row>
    <row r="756" spans="22:22" x14ac:dyDescent="0.25">
      <c r="V756" s="6" t="str">
        <f t="shared" si="14"/>
        <v/>
      </c>
    </row>
    <row r="757" spans="22:22" x14ac:dyDescent="0.25">
      <c r="V757" s="6" t="str">
        <f t="shared" si="14"/>
        <v/>
      </c>
    </row>
    <row r="758" spans="22:22" x14ac:dyDescent="0.25">
      <c r="V758" s="6" t="str">
        <f t="shared" si="14"/>
        <v/>
      </c>
    </row>
    <row r="759" spans="22:22" x14ac:dyDescent="0.25">
      <c r="V759" s="6" t="str">
        <f t="shared" si="14"/>
        <v/>
      </c>
    </row>
    <row r="760" spans="22:22" x14ac:dyDescent="0.25">
      <c r="V760" s="6" t="str">
        <f t="shared" si="14"/>
        <v/>
      </c>
    </row>
    <row r="761" spans="22:22" x14ac:dyDescent="0.25">
      <c r="V761" s="6" t="str">
        <f t="shared" si="14"/>
        <v/>
      </c>
    </row>
    <row r="762" spans="22:22" x14ac:dyDescent="0.25">
      <c r="V762" s="6" t="str">
        <f t="shared" si="14"/>
        <v/>
      </c>
    </row>
    <row r="763" spans="22:22" x14ac:dyDescent="0.25">
      <c r="V763" s="6" t="str">
        <f t="shared" si="14"/>
        <v/>
      </c>
    </row>
    <row r="764" spans="22:22" x14ac:dyDescent="0.25">
      <c r="V764" s="6" t="str">
        <f t="shared" si="14"/>
        <v/>
      </c>
    </row>
    <row r="765" spans="22:22" x14ac:dyDescent="0.25">
      <c r="V765" s="6" t="str">
        <f t="shared" si="14"/>
        <v/>
      </c>
    </row>
    <row r="766" spans="22:22" x14ac:dyDescent="0.25">
      <c r="V766" s="6" t="str">
        <f t="shared" si="14"/>
        <v/>
      </c>
    </row>
    <row r="767" spans="22:22" x14ac:dyDescent="0.25">
      <c r="V767" s="6" t="str">
        <f t="shared" si="14"/>
        <v/>
      </c>
    </row>
    <row r="768" spans="22:22" x14ac:dyDescent="0.25">
      <c r="V768" s="6" t="str">
        <f t="shared" si="14"/>
        <v/>
      </c>
    </row>
    <row r="769" spans="22:22" x14ac:dyDescent="0.25">
      <c r="V769" s="6" t="str">
        <f t="shared" si="14"/>
        <v/>
      </c>
    </row>
    <row r="770" spans="22:22" x14ac:dyDescent="0.25">
      <c r="V770" s="6" t="str">
        <f t="shared" si="14"/>
        <v/>
      </c>
    </row>
    <row r="771" spans="22:22" x14ac:dyDescent="0.25">
      <c r="V771" s="6" t="str">
        <f t="shared" si="14"/>
        <v/>
      </c>
    </row>
    <row r="772" spans="22:22" x14ac:dyDescent="0.25">
      <c r="V772" s="6" t="str">
        <f t="shared" si="14"/>
        <v/>
      </c>
    </row>
    <row r="773" spans="22:22" x14ac:dyDescent="0.25">
      <c r="V773" s="6" t="str">
        <f t="shared" si="14"/>
        <v/>
      </c>
    </row>
    <row r="774" spans="22:22" x14ac:dyDescent="0.25">
      <c r="V774" s="6" t="str">
        <f t="shared" si="14"/>
        <v/>
      </c>
    </row>
    <row r="775" spans="22:22" x14ac:dyDescent="0.25">
      <c r="V775" s="6" t="str">
        <f t="shared" si="14"/>
        <v/>
      </c>
    </row>
    <row r="776" spans="22:22" x14ac:dyDescent="0.25">
      <c r="V776" s="6" t="str">
        <f t="shared" si="14"/>
        <v/>
      </c>
    </row>
    <row r="777" spans="22:22" x14ac:dyDescent="0.25">
      <c r="V777" s="6" t="str">
        <f t="shared" si="14"/>
        <v/>
      </c>
    </row>
    <row r="778" spans="22:22" x14ac:dyDescent="0.25">
      <c r="V778" s="6" t="str">
        <f t="shared" si="14"/>
        <v/>
      </c>
    </row>
    <row r="779" spans="22:22" x14ac:dyDescent="0.25">
      <c r="V779" s="6" t="str">
        <f t="shared" si="14"/>
        <v/>
      </c>
    </row>
    <row r="780" spans="22:22" x14ac:dyDescent="0.25">
      <c r="V780" s="6" t="str">
        <f t="shared" si="14"/>
        <v/>
      </c>
    </row>
    <row r="781" spans="22:22" x14ac:dyDescent="0.25">
      <c r="V781" s="6" t="str">
        <f t="shared" si="14"/>
        <v/>
      </c>
    </row>
    <row r="782" spans="22:22" x14ac:dyDescent="0.25">
      <c r="V782" s="6" t="str">
        <f t="shared" si="14"/>
        <v/>
      </c>
    </row>
    <row r="783" spans="22:22" x14ac:dyDescent="0.25">
      <c r="V783" s="6" t="str">
        <f t="shared" si="14"/>
        <v/>
      </c>
    </row>
    <row r="784" spans="22:22" x14ac:dyDescent="0.25">
      <c r="V784" s="6" t="str">
        <f t="shared" si="14"/>
        <v/>
      </c>
    </row>
    <row r="785" spans="22:22" x14ac:dyDescent="0.25">
      <c r="V785" s="6" t="str">
        <f t="shared" si="14"/>
        <v/>
      </c>
    </row>
    <row r="786" spans="22:22" x14ac:dyDescent="0.25">
      <c r="V786" s="6" t="str">
        <f t="shared" si="14"/>
        <v/>
      </c>
    </row>
    <row r="787" spans="22:22" x14ac:dyDescent="0.25">
      <c r="V787" s="6" t="str">
        <f t="shared" si="14"/>
        <v/>
      </c>
    </row>
    <row r="788" spans="22:22" x14ac:dyDescent="0.25">
      <c r="V788" s="6" t="str">
        <f t="shared" si="14"/>
        <v/>
      </c>
    </row>
    <row r="789" spans="22:22" x14ac:dyDescent="0.25">
      <c r="V789" s="6" t="str">
        <f t="shared" si="14"/>
        <v/>
      </c>
    </row>
    <row r="790" spans="22:22" x14ac:dyDescent="0.25">
      <c r="V790" s="6" t="str">
        <f t="shared" si="14"/>
        <v/>
      </c>
    </row>
    <row r="791" spans="22:22" x14ac:dyDescent="0.25">
      <c r="V791" s="6" t="str">
        <f t="shared" si="14"/>
        <v/>
      </c>
    </row>
    <row r="792" spans="22:22" x14ac:dyDescent="0.25">
      <c r="V792" s="6" t="str">
        <f t="shared" si="14"/>
        <v/>
      </c>
    </row>
    <row r="793" spans="22:22" x14ac:dyDescent="0.25">
      <c r="V793" s="6" t="str">
        <f t="shared" si="14"/>
        <v/>
      </c>
    </row>
    <row r="794" spans="22:22" x14ac:dyDescent="0.25">
      <c r="V794" s="6" t="str">
        <f t="shared" si="14"/>
        <v/>
      </c>
    </row>
    <row r="795" spans="22:22" x14ac:dyDescent="0.25">
      <c r="V795" s="6" t="str">
        <f t="shared" si="14"/>
        <v/>
      </c>
    </row>
    <row r="796" spans="22:22" x14ac:dyDescent="0.25">
      <c r="V796" s="6" t="str">
        <f t="shared" si="14"/>
        <v/>
      </c>
    </row>
    <row r="797" spans="22:22" x14ac:dyDescent="0.25">
      <c r="V797" s="6" t="str">
        <f t="shared" si="14"/>
        <v/>
      </c>
    </row>
    <row r="798" spans="22:22" x14ac:dyDescent="0.25">
      <c r="V798" s="6" t="str">
        <f t="shared" si="14"/>
        <v/>
      </c>
    </row>
    <row r="799" spans="22:22" x14ac:dyDescent="0.25">
      <c r="V799" s="6" t="str">
        <f t="shared" si="14"/>
        <v/>
      </c>
    </row>
    <row r="800" spans="22:22" x14ac:dyDescent="0.25">
      <c r="V800" s="6" t="str">
        <f t="shared" si="14"/>
        <v/>
      </c>
    </row>
    <row r="801" spans="22:22" x14ac:dyDescent="0.25">
      <c r="V801" s="6" t="str">
        <f t="shared" si="14"/>
        <v/>
      </c>
    </row>
    <row r="802" spans="22:22" x14ac:dyDescent="0.25">
      <c r="V802" s="6" t="str">
        <f t="shared" si="14"/>
        <v/>
      </c>
    </row>
    <row r="803" spans="22:22" x14ac:dyDescent="0.25">
      <c r="V803" s="6" t="str">
        <f t="shared" si="14"/>
        <v/>
      </c>
    </row>
    <row r="804" spans="22:22" x14ac:dyDescent="0.25">
      <c r="V804" s="6" t="str">
        <f t="shared" si="14"/>
        <v/>
      </c>
    </row>
    <row r="805" spans="22:22" x14ac:dyDescent="0.25">
      <c r="V805" s="6" t="str">
        <f t="shared" si="14"/>
        <v/>
      </c>
    </row>
    <row r="806" spans="22:22" x14ac:dyDescent="0.25">
      <c r="V806" s="6" t="str">
        <f t="shared" si="14"/>
        <v/>
      </c>
    </row>
    <row r="807" spans="22:22" x14ac:dyDescent="0.25">
      <c r="V807" s="6" t="str">
        <f t="shared" si="14"/>
        <v/>
      </c>
    </row>
    <row r="808" spans="22:22" x14ac:dyDescent="0.25">
      <c r="V808" s="6" t="str">
        <f t="shared" si="14"/>
        <v/>
      </c>
    </row>
    <row r="809" spans="22:22" x14ac:dyDescent="0.25">
      <c r="V809" s="6" t="str">
        <f t="shared" si="14"/>
        <v/>
      </c>
    </row>
    <row r="810" spans="22:22" x14ac:dyDescent="0.25">
      <c r="V810" s="6" t="str">
        <f t="shared" si="14"/>
        <v/>
      </c>
    </row>
    <row r="811" spans="22:22" x14ac:dyDescent="0.25">
      <c r="V811" s="6" t="str">
        <f t="shared" si="14"/>
        <v/>
      </c>
    </row>
    <row r="812" spans="22:22" x14ac:dyDescent="0.25">
      <c r="V812" s="6" t="str">
        <f t="shared" si="14"/>
        <v/>
      </c>
    </row>
    <row r="813" spans="22:22" x14ac:dyDescent="0.25">
      <c r="V813" s="6" t="str">
        <f t="shared" si="14"/>
        <v/>
      </c>
    </row>
    <row r="814" spans="22:22" x14ac:dyDescent="0.25">
      <c r="V814" s="6" t="str">
        <f t="shared" si="14"/>
        <v/>
      </c>
    </row>
    <row r="815" spans="22:22" x14ac:dyDescent="0.25">
      <c r="V815" s="6" t="str">
        <f t="shared" si="14"/>
        <v/>
      </c>
    </row>
    <row r="816" spans="22:22" x14ac:dyDescent="0.25">
      <c r="V816" s="6" t="str">
        <f t="shared" ref="V816:V879" si="15">IFERROR(DATEVALUE(D816),"")</f>
        <v/>
      </c>
    </row>
    <row r="817" spans="22:22" x14ac:dyDescent="0.25">
      <c r="V817" s="6" t="str">
        <f t="shared" si="15"/>
        <v/>
      </c>
    </row>
    <row r="818" spans="22:22" x14ac:dyDescent="0.25">
      <c r="V818" s="6" t="str">
        <f t="shared" si="15"/>
        <v/>
      </c>
    </row>
    <row r="819" spans="22:22" x14ac:dyDescent="0.25">
      <c r="V819" s="6" t="str">
        <f t="shared" si="15"/>
        <v/>
      </c>
    </row>
    <row r="820" spans="22:22" x14ac:dyDescent="0.25">
      <c r="V820" s="6" t="str">
        <f t="shared" si="15"/>
        <v/>
      </c>
    </row>
    <row r="821" spans="22:22" x14ac:dyDescent="0.25">
      <c r="V821" s="6" t="str">
        <f t="shared" si="15"/>
        <v/>
      </c>
    </row>
    <row r="822" spans="22:22" x14ac:dyDescent="0.25">
      <c r="V822" s="6" t="str">
        <f t="shared" si="15"/>
        <v/>
      </c>
    </row>
    <row r="823" spans="22:22" x14ac:dyDescent="0.25">
      <c r="V823" s="6" t="str">
        <f t="shared" si="15"/>
        <v/>
      </c>
    </row>
    <row r="824" spans="22:22" x14ac:dyDescent="0.25">
      <c r="V824" s="6" t="str">
        <f t="shared" si="15"/>
        <v/>
      </c>
    </row>
    <row r="825" spans="22:22" x14ac:dyDescent="0.25">
      <c r="V825" s="6" t="str">
        <f t="shared" si="15"/>
        <v/>
      </c>
    </row>
    <row r="826" spans="22:22" x14ac:dyDescent="0.25">
      <c r="V826" s="6" t="str">
        <f t="shared" si="15"/>
        <v/>
      </c>
    </row>
    <row r="827" spans="22:22" x14ac:dyDescent="0.25">
      <c r="V827" s="6" t="str">
        <f t="shared" si="15"/>
        <v/>
      </c>
    </row>
    <row r="828" spans="22:22" x14ac:dyDescent="0.25">
      <c r="V828" s="6" t="str">
        <f t="shared" si="15"/>
        <v/>
      </c>
    </row>
    <row r="829" spans="22:22" x14ac:dyDescent="0.25">
      <c r="V829" s="6" t="str">
        <f t="shared" si="15"/>
        <v/>
      </c>
    </row>
    <row r="830" spans="22:22" x14ac:dyDescent="0.25">
      <c r="V830" s="6" t="str">
        <f t="shared" si="15"/>
        <v/>
      </c>
    </row>
    <row r="831" spans="22:22" x14ac:dyDescent="0.25">
      <c r="V831" s="6" t="str">
        <f t="shared" si="15"/>
        <v/>
      </c>
    </row>
    <row r="832" spans="22:22" x14ac:dyDescent="0.25">
      <c r="V832" s="6" t="str">
        <f t="shared" si="15"/>
        <v/>
      </c>
    </row>
    <row r="833" spans="22:22" x14ac:dyDescent="0.25">
      <c r="V833" s="6" t="str">
        <f t="shared" si="15"/>
        <v/>
      </c>
    </row>
    <row r="834" spans="22:22" x14ac:dyDescent="0.25">
      <c r="V834" s="6" t="str">
        <f t="shared" si="15"/>
        <v/>
      </c>
    </row>
    <row r="835" spans="22:22" x14ac:dyDescent="0.25">
      <c r="V835" s="6" t="str">
        <f t="shared" si="15"/>
        <v/>
      </c>
    </row>
    <row r="836" spans="22:22" x14ac:dyDescent="0.25">
      <c r="V836" s="6" t="str">
        <f t="shared" si="15"/>
        <v/>
      </c>
    </row>
    <row r="837" spans="22:22" x14ac:dyDescent="0.25">
      <c r="V837" s="6" t="str">
        <f t="shared" si="15"/>
        <v/>
      </c>
    </row>
    <row r="838" spans="22:22" x14ac:dyDescent="0.25">
      <c r="V838" s="6" t="str">
        <f t="shared" si="15"/>
        <v/>
      </c>
    </row>
    <row r="839" spans="22:22" x14ac:dyDescent="0.25">
      <c r="V839" s="6" t="str">
        <f t="shared" si="15"/>
        <v/>
      </c>
    </row>
    <row r="840" spans="22:22" x14ac:dyDescent="0.25">
      <c r="V840" s="6" t="str">
        <f t="shared" si="15"/>
        <v/>
      </c>
    </row>
    <row r="841" spans="22:22" x14ac:dyDescent="0.25">
      <c r="V841" s="6" t="str">
        <f t="shared" si="15"/>
        <v/>
      </c>
    </row>
    <row r="842" spans="22:22" x14ac:dyDescent="0.25">
      <c r="V842" s="6" t="str">
        <f t="shared" si="15"/>
        <v/>
      </c>
    </row>
    <row r="843" spans="22:22" x14ac:dyDescent="0.25">
      <c r="V843" s="6" t="str">
        <f t="shared" si="15"/>
        <v/>
      </c>
    </row>
    <row r="844" spans="22:22" x14ac:dyDescent="0.25">
      <c r="V844" s="6" t="str">
        <f t="shared" si="15"/>
        <v/>
      </c>
    </row>
    <row r="845" spans="22:22" x14ac:dyDescent="0.25">
      <c r="V845" s="6" t="str">
        <f t="shared" si="15"/>
        <v/>
      </c>
    </row>
    <row r="846" spans="22:22" x14ac:dyDescent="0.25">
      <c r="V846" s="6" t="str">
        <f t="shared" si="15"/>
        <v/>
      </c>
    </row>
    <row r="847" spans="22:22" x14ac:dyDescent="0.25">
      <c r="V847" s="6" t="str">
        <f t="shared" si="15"/>
        <v/>
      </c>
    </row>
    <row r="848" spans="22:22" x14ac:dyDescent="0.25">
      <c r="V848" s="6" t="str">
        <f t="shared" si="15"/>
        <v/>
      </c>
    </row>
    <row r="849" spans="22:22" x14ac:dyDescent="0.25">
      <c r="V849" s="6" t="str">
        <f t="shared" si="15"/>
        <v/>
      </c>
    </row>
    <row r="850" spans="22:22" x14ac:dyDescent="0.25">
      <c r="V850" s="6" t="str">
        <f t="shared" si="15"/>
        <v/>
      </c>
    </row>
    <row r="851" spans="22:22" x14ac:dyDescent="0.25">
      <c r="V851" s="6" t="str">
        <f t="shared" si="15"/>
        <v/>
      </c>
    </row>
    <row r="852" spans="22:22" x14ac:dyDescent="0.25">
      <c r="V852" s="6" t="str">
        <f t="shared" si="15"/>
        <v/>
      </c>
    </row>
    <row r="853" spans="22:22" x14ac:dyDescent="0.25">
      <c r="V853" s="6" t="str">
        <f t="shared" si="15"/>
        <v/>
      </c>
    </row>
    <row r="854" spans="22:22" x14ac:dyDescent="0.25">
      <c r="V854" s="6" t="str">
        <f t="shared" si="15"/>
        <v/>
      </c>
    </row>
    <row r="855" spans="22:22" x14ac:dyDescent="0.25">
      <c r="V855" s="6" t="str">
        <f t="shared" si="15"/>
        <v/>
      </c>
    </row>
    <row r="856" spans="22:22" x14ac:dyDescent="0.25">
      <c r="V856" s="6" t="str">
        <f t="shared" si="15"/>
        <v/>
      </c>
    </row>
    <row r="857" spans="22:22" x14ac:dyDescent="0.25">
      <c r="V857" s="6" t="str">
        <f t="shared" si="15"/>
        <v/>
      </c>
    </row>
    <row r="858" spans="22:22" x14ac:dyDescent="0.25">
      <c r="V858" s="6" t="str">
        <f t="shared" si="15"/>
        <v/>
      </c>
    </row>
    <row r="859" spans="22:22" x14ac:dyDescent="0.25">
      <c r="V859" s="6" t="str">
        <f t="shared" si="15"/>
        <v/>
      </c>
    </row>
    <row r="860" spans="22:22" x14ac:dyDescent="0.25">
      <c r="V860" s="6" t="str">
        <f t="shared" si="15"/>
        <v/>
      </c>
    </row>
    <row r="861" spans="22:22" x14ac:dyDescent="0.25">
      <c r="V861" s="6" t="str">
        <f t="shared" si="15"/>
        <v/>
      </c>
    </row>
    <row r="862" spans="22:22" x14ac:dyDescent="0.25">
      <c r="V862" s="6" t="str">
        <f t="shared" si="15"/>
        <v/>
      </c>
    </row>
    <row r="863" spans="22:22" x14ac:dyDescent="0.25">
      <c r="V863" s="6" t="str">
        <f t="shared" si="15"/>
        <v/>
      </c>
    </row>
    <row r="864" spans="22:22" x14ac:dyDescent="0.25">
      <c r="V864" s="6" t="str">
        <f t="shared" si="15"/>
        <v/>
      </c>
    </row>
    <row r="865" spans="22:22" x14ac:dyDescent="0.25">
      <c r="V865" s="6" t="str">
        <f t="shared" si="15"/>
        <v/>
      </c>
    </row>
    <row r="866" spans="22:22" x14ac:dyDescent="0.25">
      <c r="V866" s="6" t="str">
        <f t="shared" si="15"/>
        <v/>
      </c>
    </row>
    <row r="867" spans="22:22" x14ac:dyDescent="0.25">
      <c r="V867" s="6" t="str">
        <f t="shared" si="15"/>
        <v/>
      </c>
    </row>
    <row r="868" spans="22:22" x14ac:dyDescent="0.25">
      <c r="V868" s="6" t="str">
        <f t="shared" si="15"/>
        <v/>
      </c>
    </row>
    <row r="869" spans="22:22" x14ac:dyDescent="0.25">
      <c r="V869" s="6" t="str">
        <f t="shared" si="15"/>
        <v/>
      </c>
    </row>
    <row r="870" spans="22:22" x14ac:dyDescent="0.25">
      <c r="V870" s="6" t="str">
        <f t="shared" si="15"/>
        <v/>
      </c>
    </row>
    <row r="871" spans="22:22" x14ac:dyDescent="0.25">
      <c r="V871" s="6" t="str">
        <f t="shared" si="15"/>
        <v/>
      </c>
    </row>
    <row r="872" spans="22:22" x14ac:dyDescent="0.25">
      <c r="V872" s="6" t="str">
        <f t="shared" si="15"/>
        <v/>
      </c>
    </row>
    <row r="873" spans="22:22" x14ac:dyDescent="0.25">
      <c r="V873" s="6" t="str">
        <f t="shared" si="15"/>
        <v/>
      </c>
    </row>
    <row r="874" spans="22:22" x14ac:dyDescent="0.25">
      <c r="V874" s="6" t="str">
        <f t="shared" si="15"/>
        <v/>
      </c>
    </row>
    <row r="875" spans="22:22" x14ac:dyDescent="0.25">
      <c r="V875" s="6" t="str">
        <f t="shared" si="15"/>
        <v/>
      </c>
    </row>
    <row r="876" spans="22:22" x14ac:dyDescent="0.25">
      <c r="V876" s="6" t="str">
        <f t="shared" si="15"/>
        <v/>
      </c>
    </row>
    <row r="877" spans="22:22" x14ac:dyDescent="0.25">
      <c r="V877" s="6" t="str">
        <f t="shared" si="15"/>
        <v/>
      </c>
    </row>
    <row r="878" spans="22:22" x14ac:dyDescent="0.25">
      <c r="V878" s="6" t="str">
        <f t="shared" si="15"/>
        <v/>
      </c>
    </row>
    <row r="879" spans="22:22" x14ac:dyDescent="0.25">
      <c r="V879" s="6" t="str">
        <f t="shared" si="15"/>
        <v/>
      </c>
    </row>
    <row r="880" spans="22:22" x14ac:dyDescent="0.25">
      <c r="V880" s="6" t="str">
        <f t="shared" ref="V880:V943" si="16">IFERROR(DATEVALUE(D880),"")</f>
        <v/>
      </c>
    </row>
    <row r="881" spans="22:22" x14ac:dyDescent="0.25">
      <c r="V881" s="6" t="str">
        <f t="shared" si="16"/>
        <v/>
      </c>
    </row>
    <row r="882" spans="22:22" x14ac:dyDescent="0.25">
      <c r="V882" s="6" t="str">
        <f t="shared" si="16"/>
        <v/>
      </c>
    </row>
    <row r="883" spans="22:22" x14ac:dyDescent="0.25">
      <c r="V883" s="6" t="str">
        <f t="shared" si="16"/>
        <v/>
      </c>
    </row>
    <row r="884" spans="22:22" x14ac:dyDescent="0.25">
      <c r="V884" s="6" t="str">
        <f t="shared" si="16"/>
        <v/>
      </c>
    </row>
    <row r="885" spans="22:22" x14ac:dyDescent="0.25">
      <c r="V885" s="6" t="str">
        <f t="shared" si="16"/>
        <v/>
      </c>
    </row>
    <row r="886" spans="22:22" x14ac:dyDescent="0.25">
      <c r="V886" s="6" t="str">
        <f t="shared" si="16"/>
        <v/>
      </c>
    </row>
    <row r="887" spans="22:22" x14ac:dyDescent="0.25">
      <c r="V887" s="6" t="str">
        <f t="shared" si="16"/>
        <v/>
      </c>
    </row>
    <row r="888" spans="22:22" x14ac:dyDescent="0.25">
      <c r="V888" s="6" t="str">
        <f t="shared" si="16"/>
        <v/>
      </c>
    </row>
    <row r="889" spans="22:22" x14ac:dyDescent="0.25">
      <c r="V889" s="6" t="str">
        <f t="shared" si="16"/>
        <v/>
      </c>
    </row>
    <row r="890" spans="22:22" x14ac:dyDescent="0.25">
      <c r="V890" s="6" t="str">
        <f t="shared" si="16"/>
        <v/>
      </c>
    </row>
    <row r="891" spans="22:22" x14ac:dyDescent="0.25">
      <c r="V891" s="6" t="str">
        <f t="shared" si="16"/>
        <v/>
      </c>
    </row>
    <row r="892" spans="22:22" x14ac:dyDescent="0.25">
      <c r="V892" s="6" t="str">
        <f t="shared" si="16"/>
        <v/>
      </c>
    </row>
    <row r="893" spans="22:22" x14ac:dyDescent="0.25">
      <c r="V893" s="6" t="str">
        <f t="shared" si="16"/>
        <v/>
      </c>
    </row>
    <row r="894" spans="22:22" x14ac:dyDescent="0.25">
      <c r="V894" s="6" t="str">
        <f t="shared" si="16"/>
        <v/>
      </c>
    </row>
    <row r="895" spans="22:22" x14ac:dyDescent="0.25">
      <c r="V895" s="6" t="str">
        <f t="shared" si="16"/>
        <v/>
      </c>
    </row>
    <row r="896" spans="22:22" x14ac:dyDescent="0.25">
      <c r="V896" s="6" t="str">
        <f t="shared" si="16"/>
        <v/>
      </c>
    </row>
    <row r="897" spans="22:22" x14ac:dyDescent="0.25">
      <c r="V897" s="6" t="str">
        <f t="shared" si="16"/>
        <v/>
      </c>
    </row>
    <row r="898" spans="22:22" x14ac:dyDescent="0.25">
      <c r="V898" s="6" t="str">
        <f t="shared" si="16"/>
        <v/>
      </c>
    </row>
    <row r="899" spans="22:22" x14ac:dyDescent="0.25">
      <c r="V899" s="6" t="str">
        <f t="shared" si="16"/>
        <v/>
      </c>
    </row>
    <row r="900" spans="22:22" x14ac:dyDescent="0.25">
      <c r="V900" s="6" t="str">
        <f t="shared" si="16"/>
        <v/>
      </c>
    </row>
    <row r="901" spans="22:22" x14ac:dyDescent="0.25">
      <c r="V901" s="6" t="str">
        <f t="shared" si="16"/>
        <v/>
      </c>
    </row>
    <row r="902" spans="22:22" x14ac:dyDescent="0.25">
      <c r="V902" s="6" t="str">
        <f t="shared" si="16"/>
        <v/>
      </c>
    </row>
    <row r="903" spans="22:22" x14ac:dyDescent="0.25">
      <c r="V903" s="6" t="str">
        <f t="shared" si="16"/>
        <v/>
      </c>
    </row>
    <row r="904" spans="22:22" x14ac:dyDescent="0.25">
      <c r="V904" s="6" t="str">
        <f t="shared" si="16"/>
        <v/>
      </c>
    </row>
    <row r="905" spans="22:22" x14ac:dyDescent="0.25">
      <c r="V905" s="6" t="str">
        <f t="shared" si="16"/>
        <v/>
      </c>
    </row>
    <row r="906" spans="22:22" x14ac:dyDescent="0.25">
      <c r="V906" s="6" t="str">
        <f t="shared" si="16"/>
        <v/>
      </c>
    </row>
    <row r="907" spans="22:22" x14ac:dyDescent="0.25">
      <c r="V907" s="6" t="str">
        <f t="shared" si="16"/>
        <v/>
      </c>
    </row>
    <row r="908" spans="22:22" x14ac:dyDescent="0.25">
      <c r="V908" s="6" t="str">
        <f t="shared" si="16"/>
        <v/>
      </c>
    </row>
    <row r="909" spans="22:22" x14ac:dyDescent="0.25">
      <c r="V909" s="6" t="str">
        <f t="shared" si="16"/>
        <v/>
      </c>
    </row>
    <row r="910" spans="22:22" x14ac:dyDescent="0.25">
      <c r="V910" s="6" t="str">
        <f t="shared" si="16"/>
        <v/>
      </c>
    </row>
    <row r="911" spans="22:22" x14ac:dyDescent="0.25">
      <c r="V911" s="6" t="str">
        <f t="shared" si="16"/>
        <v/>
      </c>
    </row>
    <row r="912" spans="22:22" x14ac:dyDescent="0.25">
      <c r="V912" s="6" t="str">
        <f t="shared" si="16"/>
        <v/>
      </c>
    </row>
    <row r="913" spans="22:22" x14ac:dyDescent="0.25">
      <c r="V913" s="6" t="str">
        <f t="shared" si="16"/>
        <v/>
      </c>
    </row>
    <row r="914" spans="22:22" x14ac:dyDescent="0.25">
      <c r="V914" s="6" t="str">
        <f t="shared" si="16"/>
        <v/>
      </c>
    </row>
    <row r="915" spans="22:22" x14ac:dyDescent="0.25">
      <c r="V915" s="6" t="str">
        <f t="shared" si="16"/>
        <v/>
      </c>
    </row>
    <row r="916" spans="22:22" x14ac:dyDescent="0.25">
      <c r="V916" s="6" t="str">
        <f t="shared" si="16"/>
        <v/>
      </c>
    </row>
    <row r="917" spans="22:22" x14ac:dyDescent="0.25">
      <c r="V917" s="6" t="str">
        <f t="shared" si="16"/>
        <v/>
      </c>
    </row>
    <row r="918" spans="22:22" x14ac:dyDescent="0.25">
      <c r="V918" s="6" t="str">
        <f t="shared" si="16"/>
        <v/>
      </c>
    </row>
    <row r="919" spans="22:22" x14ac:dyDescent="0.25">
      <c r="V919" s="6" t="str">
        <f t="shared" si="16"/>
        <v/>
      </c>
    </row>
    <row r="920" spans="22:22" x14ac:dyDescent="0.25">
      <c r="V920" s="6" t="str">
        <f t="shared" si="16"/>
        <v/>
      </c>
    </row>
    <row r="921" spans="22:22" x14ac:dyDescent="0.25">
      <c r="V921" s="6" t="str">
        <f t="shared" si="16"/>
        <v/>
      </c>
    </row>
    <row r="922" spans="22:22" x14ac:dyDescent="0.25">
      <c r="V922" s="6" t="str">
        <f t="shared" si="16"/>
        <v/>
      </c>
    </row>
    <row r="923" spans="22:22" x14ac:dyDescent="0.25">
      <c r="V923" s="6" t="str">
        <f t="shared" si="16"/>
        <v/>
      </c>
    </row>
    <row r="924" spans="22:22" x14ac:dyDescent="0.25">
      <c r="V924" s="6" t="str">
        <f t="shared" si="16"/>
        <v/>
      </c>
    </row>
    <row r="925" spans="22:22" x14ac:dyDescent="0.25">
      <c r="V925" s="6" t="str">
        <f t="shared" si="16"/>
        <v/>
      </c>
    </row>
    <row r="926" spans="22:22" x14ac:dyDescent="0.25">
      <c r="V926" s="6" t="str">
        <f t="shared" si="16"/>
        <v/>
      </c>
    </row>
    <row r="927" spans="22:22" x14ac:dyDescent="0.25">
      <c r="V927" s="6" t="str">
        <f t="shared" si="16"/>
        <v/>
      </c>
    </row>
    <row r="928" spans="22:22" x14ac:dyDescent="0.25">
      <c r="V928" s="6" t="str">
        <f t="shared" si="16"/>
        <v/>
      </c>
    </row>
    <row r="929" spans="22:22" x14ac:dyDescent="0.25">
      <c r="V929" s="6" t="str">
        <f t="shared" si="16"/>
        <v/>
      </c>
    </row>
    <row r="930" spans="22:22" x14ac:dyDescent="0.25">
      <c r="V930" s="6" t="str">
        <f t="shared" si="16"/>
        <v/>
      </c>
    </row>
    <row r="931" spans="22:22" x14ac:dyDescent="0.25">
      <c r="V931" s="6" t="str">
        <f t="shared" si="16"/>
        <v/>
      </c>
    </row>
    <row r="932" spans="22:22" x14ac:dyDescent="0.25">
      <c r="V932" s="6" t="str">
        <f t="shared" si="16"/>
        <v/>
      </c>
    </row>
    <row r="933" spans="22:22" x14ac:dyDescent="0.25">
      <c r="V933" s="6" t="str">
        <f t="shared" si="16"/>
        <v/>
      </c>
    </row>
    <row r="934" spans="22:22" x14ac:dyDescent="0.25">
      <c r="V934" s="6" t="str">
        <f t="shared" si="16"/>
        <v/>
      </c>
    </row>
    <row r="935" spans="22:22" x14ac:dyDescent="0.25">
      <c r="V935" s="6" t="str">
        <f t="shared" si="16"/>
        <v/>
      </c>
    </row>
    <row r="936" spans="22:22" x14ac:dyDescent="0.25">
      <c r="V936" s="6" t="str">
        <f t="shared" si="16"/>
        <v/>
      </c>
    </row>
    <row r="937" spans="22:22" x14ac:dyDescent="0.25">
      <c r="V937" s="6" t="str">
        <f t="shared" si="16"/>
        <v/>
      </c>
    </row>
    <row r="938" spans="22:22" x14ac:dyDescent="0.25">
      <c r="V938" s="6" t="str">
        <f t="shared" si="16"/>
        <v/>
      </c>
    </row>
    <row r="939" spans="22:22" x14ac:dyDescent="0.25">
      <c r="V939" s="6" t="str">
        <f t="shared" si="16"/>
        <v/>
      </c>
    </row>
    <row r="940" spans="22:22" x14ac:dyDescent="0.25">
      <c r="V940" s="6" t="str">
        <f t="shared" si="16"/>
        <v/>
      </c>
    </row>
    <row r="941" spans="22:22" x14ac:dyDescent="0.25">
      <c r="V941" s="6" t="str">
        <f t="shared" si="16"/>
        <v/>
      </c>
    </row>
    <row r="942" spans="22:22" x14ac:dyDescent="0.25">
      <c r="V942" s="6" t="str">
        <f t="shared" si="16"/>
        <v/>
      </c>
    </row>
    <row r="943" spans="22:22" x14ac:dyDescent="0.25">
      <c r="V943" s="6" t="str">
        <f t="shared" si="16"/>
        <v/>
      </c>
    </row>
    <row r="944" spans="22:22" x14ac:dyDescent="0.25">
      <c r="V944" s="6" t="str">
        <f t="shared" ref="V944:V1007" si="17">IFERROR(DATEVALUE(D944),"")</f>
        <v/>
      </c>
    </row>
    <row r="945" spans="22:22" x14ac:dyDescent="0.25">
      <c r="V945" s="6" t="str">
        <f t="shared" si="17"/>
        <v/>
      </c>
    </row>
    <row r="946" spans="22:22" x14ac:dyDescent="0.25">
      <c r="V946" s="6" t="str">
        <f t="shared" si="17"/>
        <v/>
      </c>
    </row>
    <row r="947" spans="22:22" x14ac:dyDescent="0.25">
      <c r="V947" s="6" t="str">
        <f t="shared" si="17"/>
        <v/>
      </c>
    </row>
    <row r="948" spans="22:22" x14ac:dyDescent="0.25">
      <c r="V948" s="6" t="str">
        <f t="shared" si="17"/>
        <v/>
      </c>
    </row>
    <row r="949" spans="22:22" x14ac:dyDescent="0.25">
      <c r="V949" s="6" t="str">
        <f t="shared" si="17"/>
        <v/>
      </c>
    </row>
    <row r="950" spans="22:22" x14ac:dyDescent="0.25">
      <c r="V950" s="6" t="str">
        <f t="shared" si="17"/>
        <v/>
      </c>
    </row>
    <row r="951" spans="22:22" x14ac:dyDescent="0.25">
      <c r="V951" s="6" t="str">
        <f t="shared" si="17"/>
        <v/>
      </c>
    </row>
    <row r="952" spans="22:22" x14ac:dyDescent="0.25">
      <c r="V952" s="6" t="str">
        <f t="shared" si="17"/>
        <v/>
      </c>
    </row>
    <row r="953" spans="22:22" x14ac:dyDescent="0.25">
      <c r="V953" s="6" t="str">
        <f t="shared" si="17"/>
        <v/>
      </c>
    </row>
    <row r="954" spans="22:22" x14ac:dyDescent="0.25">
      <c r="V954" s="6" t="str">
        <f t="shared" si="17"/>
        <v/>
      </c>
    </row>
    <row r="955" spans="22:22" x14ac:dyDescent="0.25">
      <c r="V955" s="6" t="str">
        <f t="shared" si="17"/>
        <v/>
      </c>
    </row>
    <row r="956" spans="22:22" x14ac:dyDescent="0.25">
      <c r="V956" s="6" t="str">
        <f t="shared" si="17"/>
        <v/>
      </c>
    </row>
    <row r="957" spans="22:22" x14ac:dyDescent="0.25">
      <c r="V957" s="6" t="str">
        <f t="shared" si="17"/>
        <v/>
      </c>
    </row>
    <row r="958" spans="22:22" x14ac:dyDescent="0.25">
      <c r="V958" s="6" t="str">
        <f t="shared" si="17"/>
        <v/>
      </c>
    </row>
    <row r="959" spans="22:22" x14ac:dyDescent="0.25">
      <c r="V959" s="6" t="str">
        <f t="shared" si="17"/>
        <v/>
      </c>
    </row>
    <row r="960" spans="22:22" x14ac:dyDescent="0.25">
      <c r="V960" s="6" t="str">
        <f t="shared" si="17"/>
        <v/>
      </c>
    </row>
    <row r="961" spans="22:22" x14ac:dyDescent="0.25">
      <c r="V961" s="6" t="str">
        <f t="shared" si="17"/>
        <v/>
      </c>
    </row>
    <row r="962" spans="22:22" x14ac:dyDescent="0.25">
      <c r="V962" s="6" t="str">
        <f t="shared" si="17"/>
        <v/>
      </c>
    </row>
    <row r="963" spans="22:22" x14ac:dyDescent="0.25">
      <c r="V963" s="6" t="str">
        <f t="shared" si="17"/>
        <v/>
      </c>
    </row>
    <row r="964" spans="22:22" x14ac:dyDescent="0.25">
      <c r="V964" s="6" t="str">
        <f t="shared" si="17"/>
        <v/>
      </c>
    </row>
    <row r="965" spans="22:22" x14ac:dyDescent="0.25">
      <c r="V965" s="6" t="str">
        <f t="shared" si="17"/>
        <v/>
      </c>
    </row>
    <row r="966" spans="22:22" x14ac:dyDescent="0.25">
      <c r="V966" s="6" t="str">
        <f t="shared" si="17"/>
        <v/>
      </c>
    </row>
    <row r="967" spans="22:22" x14ac:dyDescent="0.25">
      <c r="V967" s="6" t="str">
        <f t="shared" si="17"/>
        <v/>
      </c>
    </row>
    <row r="968" spans="22:22" x14ac:dyDescent="0.25">
      <c r="V968" s="6" t="str">
        <f t="shared" si="17"/>
        <v/>
      </c>
    </row>
    <row r="969" spans="22:22" x14ac:dyDescent="0.25">
      <c r="V969" s="6" t="str">
        <f t="shared" si="17"/>
        <v/>
      </c>
    </row>
    <row r="970" spans="22:22" x14ac:dyDescent="0.25">
      <c r="V970" s="6" t="str">
        <f t="shared" si="17"/>
        <v/>
      </c>
    </row>
    <row r="971" spans="22:22" x14ac:dyDescent="0.25">
      <c r="V971" s="6" t="str">
        <f t="shared" si="17"/>
        <v/>
      </c>
    </row>
    <row r="972" spans="22:22" x14ac:dyDescent="0.25">
      <c r="V972" s="6" t="str">
        <f t="shared" si="17"/>
        <v/>
      </c>
    </row>
    <row r="973" spans="22:22" x14ac:dyDescent="0.25">
      <c r="V973" s="6" t="str">
        <f t="shared" si="17"/>
        <v/>
      </c>
    </row>
    <row r="974" spans="22:22" x14ac:dyDescent="0.25">
      <c r="V974" s="6" t="str">
        <f t="shared" si="17"/>
        <v/>
      </c>
    </row>
    <row r="975" spans="22:22" x14ac:dyDescent="0.25">
      <c r="V975" s="6" t="str">
        <f t="shared" si="17"/>
        <v/>
      </c>
    </row>
    <row r="976" spans="22:22" x14ac:dyDescent="0.25">
      <c r="V976" s="6" t="str">
        <f t="shared" si="17"/>
        <v/>
      </c>
    </row>
    <row r="977" spans="22:22" x14ac:dyDescent="0.25">
      <c r="V977" s="6" t="str">
        <f t="shared" si="17"/>
        <v/>
      </c>
    </row>
    <row r="978" spans="22:22" x14ac:dyDescent="0.25">
      <c r="V978" s="6" t="str">
        <f t="shared" si="17"/>
        <v/>
      </c>
    </row>
    <row r="979" spans="22:22" x14ac:dyDescent="0.25">
      <c r="V979" s="6" t="str">
        <f t="shared" si="17"/>
        <v/>
      </c>
    </row>
    <row r="980" spans="22:22" x14ac:dyDescent="0.25">
      <c r="V980" s="6" t="str">
        <f t="shared" si="17"/>
        <v/>
      </c>
    </row>
    <row r="981" spans="22:22" x14ac:dyDescent="0.25">
      <c r="V981" s="6" t="str">
        <f t="shared" si="17"/>
        <v/>
      </c>
    </row>
    <row r="982" spans="22:22" x14ac:dyDescent="0.25">
      <c r="V982" s="6" t="str">
        <f t="shared" si="17"/>
        <v/>
      </c>
    </row>
    <row r="983" spans="22:22" x14ac:dyDescent="0.25">
      <c r="V983" s="6" t="str">
        <f t="shared" si="17"/>
        <v/>
      </c>
    </row>
    <row r="984" spans="22:22" x14ac:dyDescent="0.25">
      <c r="V984" s="6" t="str">
        <f t="shared" si="17"/>
        <v/>
      </c>
    </row>
    <row r="985" spans="22:22" x14ac:dyDescent="0.25">
      <c r="V985" s="6" t="str">
        <f t="shared" si="17"/>
        <v/>
      </c>
    </row>
    <row r="986" spans="22:22" x14ac:dyDescent="0.25">
      <c r="V986" s="6" t="str">
        <f t="shared" si="17"/>
        <v/>
      </c>
    </row>
    <row r="987" spans="22:22" x14ac:dyDescent="0.25">
      <c r="V987" s="6" t="str">
        <f t="shared" si="17"/>
        <v/>
      </c>
    </row>
    <row r="988" spans="22:22" x14ac:dyDescent="0.25">
      <c r="V988" s="6" t="str">
        <f t="shared" si="17"/>
        <v/>
      </c>
    </row>
    <row r="989" spans="22:22" x14ac:dyDescent="0.25">
      <c r="V989" s="6" t="str">
        <f t="shared" si="17"/>
        <v/>
      </c>
    </row>
    <row r="990" spans="22:22" x14ac:dyDescent="0.25">
      <c r="V990" s="6" t="str">
        <f t="shared" si="17"/>
        <v/>
      </c>
    </row>
    <row r="991" spans="22:22" x14ac:dyDescent="0.25">
      <c r="V991" s="6" t="str">
        <f t="shared" si="17"/>
        <v/>
      </c>
    </row>
    <row r="992" spans="22:22" x14ac:dyDescent="0.25">
      <c r="V992" s="6" t="str">
        <f t="shared" si="17"/>
        <v/>
      </c>
    </row>
    <row r="993" spans="22:22" x14ac:dyDescent="0.25">
      <c r="V993" s="6" t="str">
        <f t="shared" si="17"/>
        <v/>
      </c>
    </row>
    <row r="994" spans="22:22" x14ac:dyDescent="0.25">
      <c r="V994" s="6" t="str">
        <f t="shared" si="17"/>
        <v/>
      </c>
    </row>
    <row r="995" spans="22:22" x14ac:dyDescent="0.25">
      <c r="V995" s="6" t="str">
        <f t="shared" si="17"/>
        <v/>
      </c>
    </row>
    <row r="996" spans="22:22" x14ac:dyDescent="0.25">
      <c r="V996" s="6" t="str">
        <f t="shared" si="17"/>
        <v/>
      </c>
    </row>
    <row r="997" spans="22:22" x14ac:dyDescent="0.25">
      <c r="V997" s="6" t="str">
        <f t="shared" si="17"/>
        <v/>
      </c>
    </row>
    <row r="998" spans="22:22" x14ac:dyDescent="0.25">
      <c r="V998" s="6" t="str">
        <f t="shared" si="17"/>
        <v/>
      </c>
    </row>
    <row r="999" spans="22:22" x14ac:dyDescent="0.25">
      <c r="V999" s="6" t="str">
        <f t="shared" si="17"/>
        <v/>
      </c>
    </row>
    <row r="1000" spans="22:22" x14ac:dyDescent="0.25">
      <c r="V1000" s="6" t="str">
        <f t="shared" si="17"/>
        <v/>
      </c>
    </row>
    <row r="1001" spans="22:22" x14ac:dyDescent="0.25">
      <c r="V1001" s="6" t="str">
        <f t="shared" si="17"/>
        <v/>
      </c>
    </row>
    <row r="1002" spans="22:22" x14ac:dyDescent="0.25">
      <c r="V1002" s="6" t="str">
        <f t="shared" si="17"/>
        <v/>
      </c>
    </row>
    <row r="1003" spans="22:22" x14ac:dyDescent="0.25">
      <c r="V1003" s="6" t="str">
        <f t="shared" si="17"/>
        <v/>
      </c>
    </row>
    <row r="1004" spans="22:22" x14ac:dyDescent="0.25">
      <c r="V1004" s="6" t="str">
        <f t="shared" si="17"/>
        <v/>
      </c>
    </row>
    <row r="1005" spans="22:22" x14ac:dyDescent="0.25">
      <c r="V1005" s="6" t="str">
        <f t="shared" si="17"/>
        <v/>
      </c>
    </row>
    <row r="1006" spans="22:22" x14ac:dyDescent="0.25">
      <c r="V1006" s="6" t="str">
        <f t="shared" si="17"/>
        <v/>
      </c>
    </row>
    <row r="1007" spans="22:22" x14ac:dyDescent="0.25">
      <c r="V1007" s="6" t="str">
        <f t="shared" si="17"/>
        <v/>
      </c>
    </row>
    <row r="1008" spans="22:22" x14ac:dyDescent="0.25">
      <c r="V1008" s="6" t="str">
        <f t="shared" ref="V1008:V1071" si="18">IFERROR(DATEVALUE(D1008),"")</f>
        <v/>
      </c>
    </row>
    <row r="1009" spans="22:22" x14ac:dyDescent="0.25">
      <c r="V1009" s="6" t="str">
        <f t="shared" si="18"/>
        <v/>
      </c>
    </row>
    <row r="1010" spans="22:22" x14ac:dyDescent="0.25">
      <c r="V1010" s="6" t="str">
        <f t="shared" si="18"/>
        <v/>
      </c>
    </row>
    <row r="1011" spans="22:22" x14ac:dyDescent="0.25">
      <c r="V1011" s="6" t="str">
        <f t="shared" si="18"/>
        <v/>
      </c>
    </row>
    <row r="1012" spans="22:22" x14ac:dyDescent="0.25">
      <c r="V1012" s="6" t="str">
        <f t="shared" si="18"/>
        <v/>
      </c>
    </row>
    <row r="1013" spans="22:22" x14ac:dyDescent="0.25">
      <c r="V1013" s="6" t="str">
        <f t="shared" si="18"/>
        <v/>
      </c>
    </row>
    <row r="1014" spans="22:22" x14ac:dyDescent="0.25">
      <c r="V1014" s="6" t="str">
        <f t="shared" si="18"/>
        <v/>
      </c>
    </row>
    <row r="1015" spans="22:22" x14ac:dyDescent="0.25">
      <c r="V1015" s="6" t="str">
        <f t="shared" si="18"/>
        <v/>
      </c>
    </row>
    <row r="1016" spans="22:22" x14ac:dyDescent="0.25">
      <c r="V1016" s="6" t="str">
        <f t="shared" si="18"/>
        <v/>
      </c>
    </row>
    <row r="1017" spans="22:22" x14ac:dyDescent="0.25">
      <c r="V1017" s="6" t="str">
        <f t="shared" si="18"/>
        <v/>
      </c>
    </row>
    <row r="1018" spans="22:22" x14ac:dyDescent="0.25">
      <c r="V1018" s="6" t="str">
        <f t="shared" si="18"/>
        <v/>
      </c>
    </row>
    <row r="1019" spans="22:22" x14ac:dyDescent="0.25">
      <c r="V1019" s="6" t="str">
        <f t="shared" si="18"/>
        <v/>
      </c>
    </row>
    <row r="1020" spans="22:22" x14ac:dyDescent="0.25">
      <c r="V1020" s="6" t="str">
        <f t="shared" si="18"/>
        <v/>
      </c>
    </row>
    <row r="1021" spans="22:22" x14ac:dyDescent="0.25">
      <c r="V1021" s="6" t="str">
        <f t="shared" si="18"/>
        <v/>
      </c>
    </row>
    <row r="1022" spans="22:22" x14ac:dyDescent="0.25">
      <c r="V1022" s="6" t="str">
        <f t="shared" si="18"/>
        <v/>
      </c>
    </row>
    <row r="1023" spans="22:22" x14ac:dyDescent="0.25">
      <c r="V1023" s="6" t="str">
        <f t="shared" si="18"/>
        <v/>
      </c>
    </row>
    <row r="1024" spans="22:22" x14ac:dyDescent="0.25">
      <c r="V1024" s="6" t="str">
        <f t="shared" si="18"/>
        <v/>
      </c>
    </row>
    <row r="1025" spans="22:22" x14ac:dyDescent="0.25">
      <c r="V1025" s="6" t="str">
        <f t="shared" si="18"/>
        <v/>
      </c>
    </row>
    <row r="1026" spans="22:22" x14ac:dyDescent="0.25">
      <c r="V1026" s="6" t="str">
        <f t="shared" si="18"/>
        <v/>
      </c>
    </row>
    <row r="1027" spans="22:22" x14ac:dyDescent="0.25">
      <c r="V1027" s="6" t="str">
        <f t="shared" si="18"/>
        <v/>
      </c>
    </row>
    <row r="1028" spans="22:22" x14ac:dyDescent="0.25">
      <c r="V1028" s="6" t="str">
        <f t="shared" si="18"/>
        <v/>
      </c>
    </row>
    <row r="1029" spans="22:22" x14ac:dyDescent="0.25">
      <c r="V1029" s="6" t="str">
        <f t="shared" si="18"/>
        <v/>
      </c>
    </row>
    <row r="1030" spans="22:22" x14ac:dyDescent="0.25">
      <c r="V1030" s="6" t="str">
        <f t="shared" si="18"/>
        <v/>
      </c>
    </row>
    <row r="1031" spans="22:22" x14ac:dyDescent="0.25">
      <c r="V1031" s="6" t="str">
        <f t="shared" si="18"/>
        <v/>
      </c>
    </row>
    <row r="1032" spans="22:22" x14ac:dyDescent="0.25">
      <c r="V1032" s="6" t="str">
        <f t="shared" si="18"/>
        <v/>
      </c>
    </row>
    <row r="1033" spans="22:22" x14ac:dyDescent="0.25">
      <c r="V1033" s="6" t="str">
        <f t="shared" si="18"/>
        <v/>
      </c>
    </row>
    <row r="1034" spans="22:22" x14ac:dyDescent="0.25">
      <c r="V1034" s="6" t="str">
        <f t="shared" si="18"/>
        <v/>
      </c>
    </row>
    <row r="1035" spans="22:22" x14ac:dyDescent="0.25">
      <c r="V1035" s="6" t="str">
        <f t="shared" si="18"/>
        <v/>
      </c>
    </row>
    <row r="1036" spans="22:22" x14ac:dyDescent="0.25">
      <c r="V1036" s="6" t="str">
        <f t="shared" si="18"/>
        <v/>
      </c>
    </row>
    <row r="1037" spans="22:22" x14ac:dyDescent="0.25">
      <c r="V1037" s="6" t="str">
        <f t="shared" si="18"/>
        <v/>
      </c>
    </row>
    <row r="1038" spans="22:22" x14ac:dyDescent="0.25">
      <c r="V1038" s="6" t="str">
        <f t="shared" si="18"/>
        <v/>
      </c>
    </row>
    <row r="1039" spans="22:22" x14ac:dyDescent="0.25">
      <c r="V1039" s="6" t="str">
        <f t="shared" si="18"/>
        <v/>
      </c>
    </row>
    <row r="1040" spans="22:22" x14ac:dyDescent="0.25">
      <c r="V1040" s="6" t="str">
        <f t="shared" si="18"/>
        <v/>
      </c>
    </row>
    <row r="1041" spans="22:22" x14ac:dyDescent="0.25">
      <c r="V1041" s="6" t="str">
        <f t="shared" si="18"/>
        <v/>
      </c>
    </row>
    <row r="1042" spans="22:22" x14ac:dyDescent="0.25">
      <c r="V1042" s="6" t="str">
        <f t="shared" si="18"/>
        <v/>
      </c>
    </row>
    <row r="1043" spans="22:22" x14ac:dyDescent="0.25">
      <c r="V1043" s="6" t="str">
        <f t="shared" si="18"/>
        <v/>
      </c>
    </row>
    <row r="1044" spans="22:22" x14ac:dyDescent="0.25">
      <c r="V1044" s="6" t="str">
        <f t="shared" si="18"/>
        <v/>
      </c>
    </row>
    <row r="1045" spans="22:22" x14ac:dyDescent="0.25">
      <c r="V1045" s="6" t="str">
        <f t="shared" si="18"/>
        <v/>
      </c>
    </row>
    <row r="1046" spans="22:22" x14ac:dyDescent="0.25">
      <c r="V1046" s="6" t="str">
        <f t="shared" si="18"/>
        <v/>
      </c>
    </row>
    <row r="1047" spans="22:22" x14ac:dyDescent="0.25">
      <c r="V1047" s="6" t="str">
        <f t="shared" si="18"/>
        <v/>
      </c>
    </row>
    <row r="1048" spans="22:22" x14ac:dyDescent="0.25">
      <c r="V1048" s="6" t="str">
        <f t="shared" si="18"/>
        <v/>
      </c>
    </row>
    <row r="1049" spans="22:22" x14ac:dyDescent="0.25">
      <c r="V1049" s="6" t="str">
        <f t="shared" si="18"/>
        <v/>
      </c>
    </row>
    <row r="1050" spans="22:22" x14ac:dyDescent="0.25">
      <c r="V1050" s="6" t="str">
        <f t="shared" si="18"/>
        <v/>
      </c>
    </row>
    <row r="1051" spans="22:22" x14ac:dyDescent="0.25">
      <c r="V1051" s="6" t="str">
        <f t="shared" si="18"/>
        <v/>
      </c>
    </row>
    <row r="1052" spans="22:22" x14ac:dyDescent="0.25">
      <c r="V1052" s="6" t="str">
        <f t="shared" si="18"/>
        <v/>
      </c>
    </row>
    <row r="1053" spans="22:22" x14ac:dyDescent="0.25">
      <c r="V1053" s="6" t="str">
        <f t="shared" si="18"/>
        <v/>
      </c>
    </row>
    <row r="1054" spans="22:22" x14ac:dyDescent="0.25">
      <c r="V1054" s="6" t="str">
        <f t="shared" si="18"/>
        <v/>
      </c>
    </row>
    <row r="1055" spans="22:22" x14ac:dyDescent="0.25">
      <c r="V1055" s="6" t="str">
        <f t="shared" si="18"/>
        <v/>
      </c>
    </row>
    <row r="1056" spans="22:22" x14ac:dyDescent="0.25">
      <c r="V1056" s="6" t="str">
        <f t="shared" si="18"/>
        <v/>
      </c>
    </row>
    <row r="1057" spans="22:22" x14ac:dyDescent="0.25">
      <c r="V1057" s="6" t="str">
        <f t="shared" si="18"/>
        <v/>
      </c>
    </row>
    <row r="1058" spans="22:22" x14ac:dyDescent="0.25">
      <c r="V1058" s="6" t="str">
        <f t="shared" si="18"/>
        <v/>
      </c>
    </row>
    <row r="1059" spans="22:22" x14ac:dyDescent="0.25">
      <c r="V1059" s="6" t="str">
        <f t="shared" si="18"/>
        <v/>
      </c>
    </row>
    <row r="1060" spans="22:22" x14ac:dyDescent="0.25">
      <c r="V1060" s="6" t="str">
        <f t="shared" si="18"/>
        <v/>
      </c>
    </row>
    <row r="1061" spans="22:22" x14ac:dyDescent="0.25">
      <c r="V1061" s="6" t="str">
        <f t="shared" si="18"/>
        <v/>
      </c>
    </row>
    <row r="1062" spans="22:22" x14ac:dyDescent="0.25">
      <c r="V1062" s="6" t="str">
        <f t="shared" si="18"/>
        <v/>
      </c>
    </row>
    <row r="1063" spans="22:22" x14ac:dyDescent="0.25">
      <c r="V1063" s="6" t="str">
        <f t="shared" si="18"/>
        <v/>
      </c>
    </row>
    <row r="1064" spans="22:22" x14ac:dyDescent="0.25">
      <c r="V1064" s="6" t="str">
        <f t="shared" si="18"/>
        <v/>
      </c>
    </row>
    <row r="1065" spans="22:22" x14ac:dyDescent="0.25">
      <c r="V1065" s="6" t="str">
        <f t="shared" si="18"/>
        <v/>
      </c>
    </row>
    <row r="1066" spans="22:22" x14ac:dyDescent="0.25">
      <c r="V1066" s="6" t="str">
        <f t="shared" si="18"/>
        <v/>
      </c>
    </row>
    <row r="1067" spans="22:22" x14ac:dyDescent="0.25">
      <c r="V1067" s="6" t="str">
        <f t="shared" si="18"/>
        <v/>
      </c>
    </row>
    <row r="1068" spans="22:22" x14ac:dyDescent="0.25">
      <c r="V1068" s="6" t="str">
        <f t="shared" si="18"/>
        <v/>
      </c>
    </row>
    <row r="1069" spans="22:22" x14ac:dyDescent="0.25">
      <c r="V1069" s="6" t="str">
        <f t="shared" si="18"/>
        <v/>
      </c>
    </row>
    <row r="1070" spans="22:22" x14ac:dyDescent="0.25">
      <c r="V1070" s="6" t="str">
        <f t="shared" si="18"/>
        <v/>
      </c>
    </row>
    <row r="1071" spans="22:22" x14ac:dyDescent="0.25">
      <c r="V1071" s="6" t="str">
        <f t="shared" si="18"/>
        <v/>
      </c>
    </row>
    <row r="1072" spans="22:22" x14ac:dyDescent="0.25">
      <c r="V1072" s="6" t="str">
        <f t="shared" ref="V1072:V1135" si="19">IFERROR(DATEVALUE(D1072),"")</f>
        <v/>
      </c>
    </row>
    <row r="1073" spans="22:22" x14ac:dyDescent="0.25">
      <c r="V1073" s="6" t="str">
        <f t="shared" si="19"/>
        <v/>
      </c>
    </row>
    <row r="1074" spans="22:22" x14ac:dyDescent="0.25">
      <c r="V1074" s="6" t="str">
        <f t="shared" si="19"/>
        <v/>
      </c>
    </row>
    <row r="1075" spans="22:22" x14ac:dyDescent="0.25">
      <c r="V1075" s="6" t="str">
        <f t="shared" si="19"/>
        <v/>
      </c>
    </row>
    <row r="1076" spans="22:22" x14ac:dyDescent="0.25">
      <c r="V1076" s="6" t="str">
        <f t="shared" si="19"/>
        <v/>
      </c>
    </row>
    <row r="1077" spans="22:22" x14ac:dyDescent="0.25">
      <c r="V1077" s="6" t="str">
        <f t="shared" si="19"/>
        <v/>
      </c>
    </row>
    <row r="1078" spans="22:22" x14ac:dyDescent="0.25">
      <c r="V1078" s="6" t="str">
        <f t="shared" si="19"/>
        <v/>
      </c>
    </row>
    <row r="1079" spans="22:22" x14ac:dyDescent="0.25">
      <c r="V1079" s="6" t="str">
        <f t="shared" si="19"/>
        <v/>
      </c>
    </row>
    <row r="1080" spans="22:22" x14ac:dyDescent="0.25">
      <c r="V1080" s="6" t="str">
        <f t="shared" si="19"/>
        <v/>
      </c>
    </row>
    <row r="1081" spans="22:22" x14ac:dyDescent="0.25">
      <c r="V1081" s="6" t="str">
        <f t="shared" si="19"/>
        <v/>
      </c>
    </row>
    <row r="1082" spans="22:22" x14ac:dyDescent="0.25">
      <c r="V1082" s="6" t="str">
        <f t="shared" si="19"/>
        <v/>
      </c>
    </row>
    <row r="1083" spans="22:22" x14ac:dyDescent="0.25">
      <c r="V1083" s="6" t="str">
        <f t="shared" si="19"/>
        <v/>
      </c>
    </row>
    <row r="1084" spans="22:22" x14ac:dyDescent="0.25">
      <c r="V1084" s="6" t="str">
        <f t="shared" si="19"/>
        <v/>
      </c>
    </row>
    <row r="1085" spans="22:22" x14ac:dyDescent="0.25">
      <c r="V1085" s="6" t="str">
        <f t="shared" si="19"/>
        <v/>
      </c>
    </row>
    <row r="1086" spans="22:22" x14ac:dyDescent="0.25">
      <c r="V1086" s="6" t="str">
        <f t="shared" si="19"/>
        <v/>
      </c>
    </row>
    <row r="1087" spans="22:22" x14ac:dyDescent="0.25">
      <c r="V1087" s="6" t="str">
        <f t="shared" si="19"/>
        <v/>
      </c>
    </row>
    <row r="1088" spans="22:22" x14ac:dyDescent="0.25">
      <c r="V1088" s="6" t="str">
        <f t="shared" si="19"/>
        <v/>
      </c>
    </row>
    <row r="1089" spans="22:22" x14ac:dyDescent="0.25">
      <c r="V1089" s="6" t="str">
        <f t="shared" si="19"/>
        <v/>
      </c>
    </row>
    <row r="1090" spans="22:22" x14ac:dyDescent="0.25">
      <c r="V1090" s="6" t="str">
        <f t="shared" si="19"/>
        <v/>
      </c>
    </row>
    <row r="1091" spans="22:22" x14ac:dyDescent="0.25">
      <c r="V1091" s="6" t="str">
        <f t="shared" si="19"/>
        <v/>
      </c>
    </row>
    <row r="1092" spans="22:22" x14ac:dyDescent="0.25">
      <c r="V1092" s="6" t="str">
        <f t="shared" si="19"/>
        <v/>
      </c>
    </row>
    <row r="1093" spans="22:22" x14ac:dyDescent="0.25">
      <c r="V1093" s="6" t="str">
        <f t="shared" si="19"/>
        <v/>
      </c>
    </row>
    <row r="1094" spans="22:22" x14ac:dyDescent="0.25">
      <c r="V1094" s="6" t="str">
        <f t="shared" si="19"/>
        <v/>
      </c>
    </row>
    <row r="1095" spans="22:22" x14ac:dyDescent="0.25">
      <c r="V1095" s="6" t="str">
        <f t="shared" si="19"/>
        <v/>
      </c>
    </row>
    <row r="1096" spans="22:22" x14ac:dyDescent="0.25">
      <c r="V1096" s="6" t="str">
        <f t="shared" si="19"/>
        <v/>
      </c>
    </row>
    <row r="1097" spans="22:22" x14ac:dyDescent="0.25">
      <c r="V1097" s="6" t="str">
        <f t="shared" si="19"/>
        <v/>
      </c>
    </row>
    <row r="1098" spans="22:22" x14ac:dyDescent="0.25">
      <c r="V1098" s="6" t="str">
        <f t="shared" si="19"/>
        <v/>
      </c>
    </row>
    <row r="1099" spans="22:22" x14ac:dyDescent="0.25">
      <c r="V1099" s="6" t="str">
        <f t="shared" si="19"/>
        <v/>
      </c>
    </row>
    <row r="1100" spans="22:22" x14ac:dyDescent="0.25">
      <c r="V1100" s="6" t="str">
        <f t="shared" si="19"/>
        <v/>
      </c>
    </row>
    <row r="1101" spans="22:22" x14ac:dyDescent="0.25">
      <c r="V1101" s="6" t="str">
        <f t="shared" si="19"/>
        <v/>
      </c>
    </row>
    <row r="1102" spans="22:22" x14ac:dyDescent="0.25">
      <c r="V1102" s="6" t="str">
        <f t="shared" si="19"/>
        <v/>
      </c>
    </row>
    <row r="1103" spans="22:22" x14ac:dyDescent="0.25">
      <c r="V1103" s="6" t="str">
        <f t="shared" si="19"/>
        <v/>
      </c>
    </row>
    <row r="1104" spans="22:22" x14ac:dyDescent="0.25">
      <c r="V1104" s="6" t="str">
        <f t="shared" si="19"/>
        <v/>
      </c>
    </row>
    <row r="1105" spans="22:22" x14ac:dyDescent="0.25">
      <c r="V1105" s="6" t="str">
        <f t="shared" si="19"/>
        <v/>
      </c>
    </row>
    <row r="1106" spans="22:22" x14ac:dyDescent="0.25">
      <c r="V1106" s="6" t="str">
        <f t="shared" si="19"/>
        <v/>
      </c>
    </row>
    <row r="1107" spans="22:22" x14ac:dyDescent="0.25">
      <c r="V1107" s="6" t="str">
        <f t="shared" si="19"/>
        <v/>
      </c>
    </row>
    <row r="1108" spans="22:22" x14ac:dyDescent="0.25">
      <c r="V1108" s="6" t="str">
        <f t="shared" si="19"/>
        <v/>
      </c>
    </row>
    <row r="1109" spans="22:22" x14ac:dyDescent="0.25">
      <c r="V1109" s="6" t="str">
        <f t="shared" si="19"/>
        <v/>
      </c>
    </row>
    <row r="1110" spans="22:22" x14ac:dyDescent="0.25">
      <c r="V1110" s="6" t="str">
        <f t="shared" si="19"/>
        <v/>
      </c>
    </row>
    <row r="1111" spans="22:22" x14ac:dyDescent="0.25">
      <c r="V1111" s="6" t="str">
        <f t="shared" si="19"/>
        <v/>
      </c>
    </row>
    <row r="1112" spans="22:22" x14ac:dyDescent="0.25">
      <c r="V1112" s="6" t="str">
        <f t="shared" si="19"/>
        <v/>
      </c>
    </row>
    <row r="1113" spans="22:22" x14ac:dyDescent="0.25">
      <c r="V1113" s="6" t="str">
        <f t="shared" si="19"/>
        <v/>
      </c>
    </row>
    <row r="1114" spans="22:22" x14ac:dyDescent="0.25">
      <c r="V1114" s="6" t="str">
        <f t="shared" si="19"/>
        <v/>
      </c>
    </row>
    <row r="1115" spans="22:22" x14ac:dyDescent="0.25">
      <c r="V1115" s="6" t="str">
        <f t="shared" si="19"/>
        <v/>
      </c>
    </row>
    <row r="1116" spans="22:22" x14ac:dyDescent="0.25">
      <c r="V1116" s="6" t="str">
        <f t="shared" si="19"/>
        <v/>
      </c>
    </row>
    <row r="1117" spans="22:22" x14ac:dyDescent="0.25">
      <c r="V1117" s="6" t="str">
        <f t="shared" si="19"/>
        <v/>
      </c>
    </row>
    <row r="1118" spans="22:22" x14ac:dyDescent="0.25">
      <c r="V1118" s="6" t="str">
        <f t="shared" si="19"/>
        <v/>
      </c>
    </row>
    <row r="1119" spans="22:22" x14ac:dyDescent="0.25">
      <c r="V1119" s="6" t="str">
        <f t="shared" si="19"/>
        <v/>
      </c>
    </row>
    <row r="1120" spans="22:22" x14ac:dyDescent="0.25">
      <c r="V1120" s="6" t="str">
        <f t="shared" si="19"/>
        <v/>
      </c>
    </row>
    <row r="1121" spans="22:22" x14ac:dyDescent="0.25">
      <c r="V1121" s="6" t="str">
        <f t="shared" si="19"/>
        <v/>
      </c>
    </row>
    <row r="1122" spans="22:22" x14ac:dyDescent="0.25">
      <c r="V1122" s="6" t="str">
        <f t="shared" si="19"/>
        <v/>
      </c>
    </row>
    <row r="1123" spans="22:22" x14ac:dyDescent="0.25">
      <c r="V1123" s="6" t="str">
        <f t="shared" si="19"/>
        <v/>
      </c>
    </row>
    <row r="1124" spans="22:22" x14ac:dyDescent="0.25">
      <c r="V1124" s="6" t="str">
        <f t="shared" si="19"/>
        <v/>
      </c>
    </row>
    <row r="1125" spans="22:22" x14ac:dyDescent="0.25">
      <c r="V1125" s="6" t="str">
        <f t="shared" si="19"/>
        <v/>
      </c>
    </row>
    <row r="1126" spans="22:22" x14ac:dyDescent="0.25">
      <c r="V1126" s="6" t="str">
        <f t="shared" si="19"/>
        <v/>
      </c>
    </row>
    <row r="1127" spans="22:22" x14ac:dyDescent="0.25">
      <c r="V1127" s="6" t="str">
        <f t="shared" si="19"/>
        <v/>
      </c>
    </row>
    <row r="1128" spans="22:22" x14ac:dyDescent="0.25">
      <c r="V1128" s="6" t="str">
        <f t="shared" si="19"/>
        <v/>
      </c>
    </row>
    <row r="1129" spans="22:22" x14ac:dyDescent="0.25">
      <c r="V1129" s="6" t="str">
        <f t="shared" si="19"/>
        <v/>
      </c>
    </row>
    <row r="1130" spans="22:22" x14ac:dyDescent="0.25">
      <c r="V1130" s="6" t="str">
        <f t="shared" si="19"/>
        <v/>
      </c>
    </row>
    <row r="1131" spans="22:22" x14ac:dyDescent="0.25">
      <c r="V1131" s="6" t="str">
        <f t="shared" si="19"/>
        <v/>
      </c>
    </row>
    <row r="1132" spans="22:22" x14ac:dyDescent="0.25">
      <c r="V1132" s="6" t="str">
        <f t="shared" si="19"/>
        <v/>
      </c>
    </row>
    <row r="1133" spans="22:22" x14ac:dyDescent="0.25">
      <c r="V1133" s="6" t="str">
        <f t="shared" si="19"/>
        <v/>
      </c>
    </row>
    <row r="1134" spans="22:22" x14ac:dyDescent="0.25">
      <c r="V1134" s="6" t="str">
        <f t="shared" si="19"/>
        <v/>
      </c>
    </row>
    <row r="1135" spans="22:22" x14ac:dyDescent="0.25">
      <c r="V1135" s="6" t="str">
        <f t="shared" si="19"/>
        <v/>
      </c>
    </row>
    <row r="1136" spans="22:22" x14ac:dyDescent="0.25">
      <c r="V1136" s="6" t="str">
        <f t="shared" ref="V1136:V1199" si="20">IFERROR(DATEVALUE(D1136),"")</f>
        <v/>
      </c>
    </row>
    <row r="1137" spans="22:22" x14ac:dyDescent="0.25">
      <c r="V1137" s="6" t="str">
        <f t="shared" si="20"/>
        <v/>
      </c>
    </row>
    <row r="1138" spans="22:22" x14ac:dyDescent="0.25">
      <c r="V1138" s="6" t="str">
        <f t="shared" si="20"/>
        <v/>
      </c>
    </row>
    <row r="1139" spans="22:22" x14ac:dyDescent="0.25">
      <c r="V1139" s="6" t="str">
        <f t="shared" si="20"/>
        <v/>
      </c>
    </row>
    <row r="1140" spans="22:22" x14ac:dyDescent="0.25">
      <c r="V1140" s="6" t="str">
        <f t="shared" si="20"/>
        <v/>
      </c>
    </row>
    <row r="1141" spans="22:22" x14ac:dyDescent="0.25">
      <c r="V1141" s="6" t="str">
        <f t="shared" si="20"/>
        <v/>
      </c>
    </row>
    <row r="1142" spans="22:22" x14ac:dyDescent="0.25">
      <c r="V1142" s="6" t="str">
        <f t="shared" si="20"/>
        <v/>
      </c>
    </row>
    <row r="1143" spans="22:22" x14ac:dyDescent="0.25">
      <c r="V1143" s="6" t="str">
        <f t="shared" si="20"/>
        <v/>
      </c>
    </row>
    <row r="1144" spans="22:22" x14ac:dyDescent="0.25">
      <c r="V1144" s="6" t="str">
        <f t="shared" si="20"/>
        <v/>
      </c>
    </row>
    <row r="1145" spans="22:22" x14ac:dyDescent="0.25">
      <c r="V1145" s="6" t="str">
        <f t="shared" si="20"/>
        <v/>
      </c>
    </row>
    <row r="1146" spans="22:22" x14ac:dyDescent="0.25">
      <c r="V1146" s="6" t="str">
        <f t="shared" si="20"/>
        <v/>
      </c>
    </row>
    <row r="1147" spans="22:22" x14ac:dyDescent="0.25">
      <c r="V1147" s="6" t="str">
        <f t="shared" si="20"/>
        <v/>
      </c>
    </row>
    <row r="1148" spans="22:22" x14ac:dyDescent="0.25">
      <c r="V1148" s="6" t="str">
        <f t="shared" si="20"/>
        <v/>
      </c>
    </row>
    <row r="1149" spans="22:22" x14ac:dyDescent="0.25">
      <c r="V1149" s="6" t="str">
        <f t="shared" si="20"/>
        <v/>
      </c>
    </row>
    <row r="1150" spans="22:22" x14ac:dyDescent="0.25">
      <c r="V1150" s="6" t="str">
        <f t="shared" si="20"/>
        <v/>
      </c>
    </row>
    <row r="1151" spans="22:22" x14ac:dyDescent="0.25">
      <c r="V1151" s="6" t="str">
        <f t="shared" si="20"/>
        <v/>
      </c>
    </row>
    <row r="1152" spans="22:22" x14ac:dyDescent="0.25">
      <c r="V1152" s="6" t="str">
        <f t="shared" si="20"/>
        <v/>
      </c>
    </row>
    <row r="1153" spans="22:22" x14ac:dyDescent="0.25">
      <c r="V1153" s="6" t="str">
        <f t="shared" si="20"/>
        <v/>
      </c>
    </row>
    <row r="1154" spans="22:22" x14ac:dyDescent="0.25">
      <c r="V1154" s="6" t="str">
        <f t="shared" si="20"/>
        <v/>
      </c>
    </row>
    <row r="1155" spans="22:22" x14ac:dyDescent="0.25">
      <c r="V1155" s="6" t="str">
        <f t="shared" si="20"/>
        <v/>
      </c>
    </row>
    <row r="1156" spans="22:22" x14ac:dyDescent="0.25">
      <c r="V1156" s="6" t="str">
        <f t="shared" si="20"/>
        <v/>
      </c>
    </row>
    <row r="1157" spans="22:22" x14ac:dyDescent="0.25">
      <c r="V1157" s="6" t="str">
        <f t="shared" si="20"/>
        <v/>
      </c>
    </row>
    <row r="1158" spans="22:22" x14ac:dyDescent="0.25">
      <c r="V1158" s="6" t="str">
        <f t="shared" si="20"/>
        <v/>
      </c>
    </row>
    <row r="1159" spans="22:22" x14ac:dyDescent="0.25">
      <c r="V1159" s="6" t="str">
        <f t="shared" si="20"/>
        <v/>
      </c>
    </row>
    <row r="1160" spans="22:22" x14ac:dyDescent="0.25">
      <c r="V1160" s="6" t="str">
        <f t="shared" si="20"/>
        <v/>
      </c>
    </row>
    <row r="1161" spans="22:22" x14ac:dyDescent="0.25">
      <c r="V1161" s="6" t="str">
        <f t="shared" si="20"/>
        <v/>
      </c>
    </row>
    <row r="1162" spans="22:22" x14ac:dyDescent="0.25">
      <c r="V1162" s="6" t="str">
        <f t="shared" si="20"/>
        <v/>
      </c>
    </row>
    <row r="1163" spans="22:22" x14ac:dyDescent="0.25">
      <c r="V1163" s="6" t="str">
        <f t="shared" si="20"/>
        <v/>
      </c>
    </row>
    <row r="1164" spans="22:22" x14ac:dyDescent="0.25">
      <c r="V1164" s="6" t="str">
        <f t="shared" si="20"/>
        <v/>
      </c>
    </row>
    <row r="1165" spans="22:22" x14ac:dyDescent="0.25">
      <c r="V1165" s="6" t="str">
        <f t="shared" si="20"/>
        <v/>
      </c>
    </row>
    <row r="1166" spans="22:22" x14ac:dyDescent="0.25">
      <c r="V1166" s="6" t="str">
        <f t="shared" si="20"/>
        <v/>
      </c>
    </row>
    <row r="1167" spans="22:22" x14ac:dyDescent="0.25">
      <c r="V1167" s="6" t="str">
        <f t="shared" si="20"/>
        <v/>
      </c>
    </row>
    <row r="1168" spans="22:22" x14ac:dyDescent="0.25">
      <c r="V1168" s="6" t="str">
        <f t="shared" si="20"/>
        <v/>
      </c>
    </row>
    <row r="1169" spans="22:22" x14ac:dyDescent="0.25">
      <c r="V1169" s="6" t="str">
        <f t="shared" si="20"/>
        <v/>
      </c>
    </row>
    <row r="1170" spans="22:22" x14ac:dyDescent="0.25">
      <c r="V1170" s="6" t="str">
        <f t="shared" si="20"/>
        <v/>
      </c>
    </row>
    <row r="1171" spans="22:22" x14ac:dyDescent="0.25">
      <c r="V1171" s="6" t="str">
        <f t="shared" si="20"/>
        <v/>
      </c>
    </row>
    <row r="1172" spans="22:22" x14ac:dyDescent="0.25">
      <c r="V1172" s="6" t="str">
        <f t="shared" si="20"/>
        <v/>
      </c>
    </row>
    <row r="1173" spans="22:22" x14ac:dyDescent="0.25">
      <c r="V1173" s="6" t="str">
        <f t="shared" si="20"/>
        <v/>
      </c>
    </row>
    <row r="1174" spans="22:22" x14ac:dyDescent="0.25">
      <c r="V1174" s="6" t="str">
        <f t="shared" si="20"/>
        <v/>
      </c>
    </row>
    <row r="1175" spans="22:22" x14ac:dyDescent="0.25">
      <c r="V1175" s="6" t="str">
        <f t="shared" si="20"/>
        <v/>
      </c>
    </row>
    <row r="1176" spans="22:22" x14ac:dyDescent="0.25">
      <c r="V1176" s="6" t="str">
        <f t="shared" si="20"/>
        <v/>
      </c>
    </row>
    <row r="1177" spans="22:22" x14ac:dyDescent="0.25">
      <c r="V1177" s="6" t="str">
        <f t="shared" si="20"/>
        <v/>
      </c>
    </row>
    <row r="1178" spans="22:22" x14ac:dyDescent="0.25">
      <c r="V1178" s="6" t="str">
        <f t="shared" si="20"/>
        <v/>
      </c>
    </row>
    <row r="1179" spans="22:22" x14ac:dyDescent="0.25">
      <c r="V1179" s="6" t="str">
        <f t="shared" si="20"/>
        <v/>
      </c>
    </row>
    <row r="1180" spans="22:22" x14ac:dyDescent="0.25">
      <c r="V1180" s="6" t="str">
        <f t="shared" si="20"/>
        <v/>
      </c>
    </row>
    <row r="1181" spans="22:22" x14ac:dyDescent="0.25">
      <c r="V1181" s="6" t="str">
        <f t="shared" si="20"/>
        <v/>
      </c>
    </row>
    <row r="1182" spans="22:22" x14ac:dyDescent="0.25">
      <c r="V1182" s="6" t="str">
        <f t="shared" si="20"/>
        <v/>
      </c>
    </row>
    <row r="1183" spans="22:22" x14ac:dyDescent="0.25">
      <c r="V1183" s="6" t="str">
        <f t="shared" si="20"/>
        <v/>
      </c>
    </row>
    <row r="1184" spans="22:22" x14ac:dyDescent="0.25">
      <c r="V1184" s="6" t="str">
        <f t="shared" si="20"/>
        <v/>
      </c>
    </row>
    <row r="1185" spans="22:22" x14ac:dyDescent="0.25">
      <c r="V1185" s="6" t="str">
        <f t="shared" si="20"/>
        <v/>
      </c>
    </row>
    <row r="1186" spans="22:22" x14ac:dyDescent="0.25">
      <c r="V1186" s="6" t="str">
        <f t="shared" si="20"/>
        <v/>
      </c>
    </row>
    <row r="1187" spans="22:22" x14ac:dyDescent="0.25">
      <c r="V1187" s="6" t="str">
        <f t="shared" si="20"/>
        <v/>
      </c>
    </row>
    <row r="1188" spans="22:22" x14ac:dyDescent="0.25">
      <c r="V1188" s="6" t="str">
        <f t="shared" si="20"/>
        <v/>
      </c>
    </row>
    <row r="1189" spans="22:22" x14ac:dyDescent="0.25">
      <c r="V1189" s="6" t="str">
        <f t="shared" si="20"/>
        <v/>
      </c>
    </row>
    <row r="1190" spans="22:22" x14ac:dyDescent="0.25">
      <c r="V1190" s="6" t="str">
        <f t="shared" si="20"/>
        <v/>
      </c>
    </row>
    <row r="1191" spans="22:22" x14ac:dyDescent="0.25">
      <c r="V1191" s="6" t="str">
        <f t="shared" si="20"/>
        <v/>
      </c>
    </row>
    <row r="1192" spans="22:22" x14ac:dyDescent="0.25">
      <c r="V1192" s="6" t="str">
        <f t="shared" si="20"/>
        <v/>
      </c>
    </row>
    <row r="1193" spans="22:22" x14ac:dyDescent="0.25">
      <c r="V1193" s="6" t="str">
        <f t="shared" si="20"/>
        <v/>
      </c>
    </row>
    <row r="1194" spans="22:22" x14ac:dyDescent="0.25">
      <c r="V1194" s="6" t="str">
        <f t="shared" si="20"/>
        <v/>
      </c>
    </row>
    <row r="1195" spans="22:22" x14ac:dyDescent="0.25">
      <c r="V1195" s="6" t="str">
        <f t="shared" si="20"/>
        <v/>
      </c>
    </row>
    <row r="1196" spans="22:22" x14ac:dyDescent="0.25">
      <c r="V1196" s="6" t="str">
        <f t="shared" si="20"/>
        <v/>
      </c>
    </row>
    <row r="1197" spans="22:22" x14ac:dyDescent="0.25">
      <c r="V1197" s="6" t="str">
        <f t="shared" si="20"/>
        <v/>
      </c>
    </row>
    <row r="1198" spans="22:22" x14ac:dyDescent="0.25">
      <c r="V1198" s="6" t="str">
        <f t="shared" si="20"/>
        <v/>
      </c>
    </row>
    <row r="1199" spans="22:22" x14ac:dyDescent="0.25">
      <c r="V1199" s="6" t="str">
        <f t="shared" si="20"/>
        <v/>
      </c>
    </row>
    <row r="1200" spans="22:22" x14ac:dyDescent="0.25">
      <c r="V1200" s="6" t="str">
        <f t="shared" ref="V1200:V1263" si="21">IFERROR(DATEVALUE(D1200),"")</f>
        <v/>
      </c>
    </row>
    <row r="1201" spans="22:22" x14ac:dyDescent="0.25">
      <c r="V1201" s="6" t="str">
        <f t="shared" si="21"/>
        <v/>
      </c>
    </row>
    <row r="1202" spans="22:22" x14ac:dyDescent="0.25">
      <c r="V1202" s="6" t="str">
        <f t="shared" si="21"/>
        <v/>
      </c>
    </row>
    <row r="1203" spans="22:22" x14ac:dyDescent="0.25">
      <c r="V1203" s="6" t="str">
        <f t="shared" si="21"/>
        <v/>
      </c>
    </row>
    <row r="1204" spans="22:22" x14ac:dyDescent="0.25">
      <c r="V1204" s="6" t="str">
        <f t="shared" si="21"/>
        <v/>
      </c>
    </row>
    <row r="1205" spans="22:22" x14ac:dyDescent="0.25">
      <c r="V1205" s="6" t="str">
        <f t="shared" si="21"/>
        <v/>
      </c>
    </row>
    <row r="1206" spans="22:22" x14ac:dyDescent="0.25">
      <c r="V1206" s="6" t="str">
        <f t="shared" si="21"/>
        <v/>
      </c>
    </row>
    <row r="1207" spans="22:22" x14ac:dyDescent="0.25">
      <c r="V1207" s="6" t="str">
        <f t="shared" si="21"/>
        <v/>
      </c>
    </row>
    <row r="1208" spans="22:22" x14ac:dyDescent="0.25">
      <c r="V1208" s="6" t="str">
        <f t="shared" si="21"/>
        <v/>
      </c>
    </row>
    <row r="1209" spans="22:22" x14ac:dyDescent="0.25">
      <c r="V1209" s="6" t="str">
        <f t="shared" si="21"/>
        <v/>
      </c>
    </row>
    <row r="1210" spans="22:22" x14ac:dyDescent="0.25">
      <c r="V1210" s="6" t="str">
        <f t="shared" si="21"/>
        <v/>
      </c>
    </row>
    <row r="1211" spans="22:22" x14ac:dyDescent="0.25">
      <c r="V1211" s="6" t="str">
        <f t="shared" si="21"/>
        <v/>
      </c>
    </row>
    <row r="1212" spans="22:22" x14ac:dyDescent="0.25">
      <c r="V1212" s="6" t="str">
        <f t="shared" si="21"/>
        <v/>
      </c>
    </row>
    <row r="1213" spans="22:22" x14ac:dyDescent="0.25">
      <c r="V1213" s="6" t="str">
        <f t="shared" si="21"/>
        <v/>
      </c>
    </row>
    <row r="1214" spans="22:22" x14ac:dyDescent="0.25">
      <c r="V1214" s="6" t="str">
        <f t="shared" si="21"/>
        <v/>
      </c>
    </row>
    <row r="1215" spans="22:22" x14ac:dyDescent="0.25">
      <c r="V1215" s="6" t="str">
        <f t="shared" si="21"/>
        <v/>
      </c>
    </row>
    <row r="1216" spans="22:22" x14ac:dyDescent="0.25">
      <c r="V1216" s="6" t="str">
        <f t="shared" si="21"/>
        <v/>
      </c>
    </row>
    <row r="1217" spans="22:22" x14ac:dyDescent="0.25">
      <c r="V1217" s="6" t="str">
        <f t="shared" si="21"/>
        <v/>
      </c>
    </row>
    <row r="1218" spans="22:22" x14ac:dyDescent="0.25">
      <c r="V1218" s="6" t="str">
        <f t="shared" si="21"/>
        <v/>
      </c>
    </row>
    <row r="1219" spans="22:22" x14ac:dyDescent="0.25">
      <c r="V1219" s="6" t="str">
        <f t="shared" si="21"/>
        <v/>
      </c>
    </row>
    <row r="1220" spans="22:22" x14ac:dyDescent="0.25">
      <c r="V1220" s="6" t="str">
        <f t="shared" si="21"/>
        <v/>
      </c>
    </row>
    <row r="1221" spans="22:22" x14ac:dyDescent="0.25">
      <c r="V1221" s="6" t="str">
        <f t="shared" si="21"/>
        <v/>
      </c>
    </row>
    <row r="1222" spans="22:22" x14ac:dyDescent="0.25">
      <c r="V1222" s="6" t="str">
        <f t="shared" si="21"/>
        <v/>
      </c>
    </row>
    <row r="1223" spans="22:22" x14ac:dyDescent="0.25">
      <c r="V1223" s="6" t="str">
        <f t="shared" si="21"/>
        <v/>
      </c>
    </row>
    <row r="1224" spans="22:22" x14ac:dyDescent="0.25">
      <c r="V1224" s="6" t="str">
        <f t="shared" si="21"/>
        <v/>
      </c>
    </row>
    <row r="1225" spans="22:22" x14ac:dyDescent="0.25">
      <c r="V1225" s="6" t="str">
        <f t="shared" si="21"/>
        <v/>
      </c>
    </row>
    <row r="1226" spans="22:22" x14ac:dyDescent="0.25">
      <c r="V1226" s="6" t="str">
        <f t="shared" si="21"/>
        <v/>
      </c>
    </row>
    <row r="1227" spans="22:22" x14ac:dyDescent="0.25">
      <c r="V1227" s="6" t="str">
        <f t="shared" si="21"/>
        <v/>
      </c>
    </row>
    <row r="1228" spans="22:22" x14ac:dyDescent="0.25">
      <c r="V1228" s="6" t="str">
        <f t="shared" si="21"/>
        <v/>
      </c>
    </row>
    <row r="1229" spans="22:22" x14ac:dyDescent="0.25">
      <c r="V1229" s="6" t="str">
        <f t="shared" si="21"/>
        <v/>
      </c>
    </row>
    <row r="1230" spans="22:22" x14ac:dyDescent="0.25">
      <c r="V1230" s="6" t="str">
        <f t="shared" si="21"/>
        <v/>
      </c>
    </row>
    <row r="1231" spans="22:22" x14ac:dyDescent="0.25">
      <c r="V1231" s="6" t="str">
        <f t="shared" si="21"/>
        <v/>
      </c>
    </row>
    <row r="1232" spans="22:22" x14ac:dyDescent="0.25">
      <c r="V1232" s="6" t="str">
        <f t="shared" si="21"/>
        <v/>
      </c>
    </row>
    <row r="1233" spans="22:22" x14ac:dyDescent="0.25">
      <c r="V1233" s="6" t="str">
        <f t="shared" si="21"/>
        <v/>
      </c>
    </row>
    <row r="1234" spans="22:22" x14ac:dyDescent="0.25">
      <c r="V1234" s="6" t="str">
        <f t="shared" si="21"/>
        <v/>
      </c>
    </row>
    <row r="1235" spans="22:22" x14ac:dyDescent="0.25">
      <c r="V1235" s="6" t="str">
        <f t="shared" si="21"/>
        <v/>
      </c>
    </row>
    <row r="1236" spans="22:22" x14ac:dyDescent="0.25">
      <c r="V1236" s="6" t="str">
        <f t="shared" si="21"/>
        <v/>
      </c>
    </row>
    <row r="1237" spans="22:22" x14ac:dyDescent="0.25">
      <c r="V1237" s="6" t="str">
        <f t="shared" si="21"/>
        <v/>
      </c>
    </row>
    <row r="1238" spans="22:22" x14ac:dyDescent="0.25">
      <c r="V1238" s="6" t="str">
        <f t="shared" si="21"/>
        <v/>
      </c>
    </row>
    <row r="1239" spans="22:22" x14ac:dyDescent="0.25">
      <c r="V1239" s="6" t="str">
        <f t="shared" si="21"/>
        <v/>
      </c>
    </row>
    <row r="1240" spans="22:22" x14ac:dyDescent="0.25">
      <c r="V1240" s="6" t="str">
        <f t="shared" si="21"/>
        <v/>
      </c>
    </row>
    <row r="1241" spans="22:22" x14ac:dyDescent="0.25">
      <c r="V1241" s="6" t="str">
        <f t="shared" si="21"/>
        <v/>
      </c>
    </row>
    <row r="1242" spans="22:22" x14ac:dyDescent="0.25">
      <c r="V1242" s="6" t="str">
        <f t="shared" si="21"/>
        <v/>
      </c>
    </row>
    <row r="1243" spans="22:22" x14ac:dyDescent="0.25">
      <c r="V1243" s="6" t="str">
        <f t="shared" si="21"/>
        <v/>
      </c>
    </row>
    <row r="1244" spans="22:22" x14ac:dyDescent="0.25">
      <c r="V1244" s="6" t="str">
        <f t="shared" si="21"/>
        <v/>
      </c>
    </row>
    <row r="1245" spans="22:22" x14ac:dyDescent="0.25">
      <c r="V1245" s="6" t="str">
        <f t="shared" si="21"/>
        <v/>
      </c>
    </row>
    <row r="1246" spans="22:22" x14ac:dyDescent="0.25">
      <c r="V1246" s="6" t="str">
        <f t="shared" si="21"/>
        <v/>
      </c>
    </row>
    <row r="1247" spans="22:22" x14ac:dyDescent="0.25">
      <c r="V1247" s="6" t="str">
        <f t="shared" si="21"/>
        <v/>
      </c>
    </row>
    <row r="1248" spans="22:22" x14ac:dyDescent="0.25">
      <c r="V1248" s="6" t="str">
        <f t="shared" si="21"/>
        <v/>
      </c>
    </row>
    <row r="1249" spans="22:22" x14ac:dyDescent="0.25">
      <c r="V1249" s="6" t="str">
        <f t="shared" si="21"/>
        <v/>
      </c>
    </row>
    <row r="1250" spans="22:22" x14ac:dyDescent="0.25">
      <c r="V1250" s="6" t="str">
        <f t="shared" si="21"/>
        <v/>
      </c>
    </row>
    <row r="1251" spans="22:22" x14ac:dyDescent="0.25">
      <c r="V1251" s="6" t="str">
        <f t="shared" si="21"/>
        <v/>
      </c>
    </row>
    <row r="1252" spans="22:22" x14ac:dyDescent="0.25">
      <c r="V1252" s="6" t="str">
        <f t="shared" si="21"/>
        <v/>
      </c>
    </row>
    <row r="1253" spans="22:22" x14ac:dyDescent="0.25">
      <c r="V1253" s="6" t="str">
        <f t="shared" si="21"/>
        <v/>
      </c>
    </row>
    <row r="1254" spans="22:22" x14ac:dyDescent="0.25">
      <c r="V1254" s="6" t="str">
        <f t="shared" si="21"/>
        <v/>
      </c>
    </row>
    <row r="1255" spans="22:22" x14ac:dyDescent="0.25">
      <c r="V1255" s="6" t="str">
        <f t="shared" si="21"/>
        <v/>
      </c>
    </row>
    <row r="1256" spans="22:22" x14ac:dyDescent="0.25">
      <c r="V1256" s="6" t="str">
        <f t="shared" si="21"/>
        <v/>
      </c>
    </row>
    <row r="1257" spans="22:22" x14ac:dyDescent="0.25">
      <c r="V1257" s="6" t="str">
        <f t="shared" si="21"/>
        <v/>
      </c>
    </row>
    <row r="1258" spans="22:22" x14ac:dyDescent="0.25">
      <c r="V1258" s="6" t="str">
        <f t="shared" si="21"/>
        <v/>
      </c>
    </row>
    <row r="1259" spans="22:22" x14ac:dyDescent="0.25">
      <c r="V1259" s="6" t="str">
        <f t="shared" si="21"/>
        <v/>
      </c>
    </row>
    <row r="1260" spans="22:22" x14ac:dyDescent="0.25">
      <c r="V1260" s="6" t="str">
        <f t="shared" si="21"/>
        <v/>
      </c>
    </row>
    <row r="1261" spans="22:22" x14ac:dyDescent="0.25">
      <c r="V1261" s="6" t="str">
        <f t="shared" si="21"/>
        <v/>
      </c>
    </row>
    <row r="1262" spans="22:22" x14ac:dyDescent="0.25">
      <c r="V1262" s="6" t="str">
        <f t="shared" si="21"/>
        <v/>
      </c>
    </row>
    <row r="1263" spans="22:22" x14ac:dyDescent="0.25">
      <c r="V1263" s="6" t="str">
        <f t="shared" si="21"/>
        <v/>
      </c>
    </row>
    <row r="1264" spans="22:22" x14ac:dyDescent="0.25">
      <c r="V1264" s="6" t="str">
        <f t="shared" ref="V1264:V1327" si="22">IFERROR(DATEVALUE(D1264),"")</f>
        <v/>
      </c>
    </row>
    <row r="1265" spans="22:22" x14ac:dyDescent="0.25">
      <c r="V1265" s="6" t="str">
        <f t="shared" si="22"/>
        <v/>
      </c>
    </row>
    <row r="1266" spans="22:22" x14ac:dyDescent="0.25">
      <c r="V1266" s="6" t="str">
        <f t="shared" si="22"/>
        <v/>
      </c>
    </row>
    <row r="1267" spans="22:22" x14ac:dyDescent="0.25">
      <c r="V1267" s="6" t="str">
        <f t="shared" si="22"/>
        <v/>
      </c>
    </row>
    <row r="1268" spans="22:22" x14ac:dyDescent="0.25">
      <c r="V1268" s="6" t="str">
        <f t="shared" si="22"/>
        <v/>
      </c>
    </row>
    <row r="1269" spans="22:22" x14ac:dyDescent="0.25">
      <c r="V1269" s="6" t="str">
        <f t="shared" si="22"/>
        <v/>
      </c>
    </row>
    <row r="1270" spans="22:22" x14ac:dyDescent="0.25">
      <c r="V1270" s="6" t="str">
        <f t="shared" si="22"/>
        <v/>
      </c>
    </row>
    <row r="1271" spans="22:22" x14ac:dyDescent="0.25">
      <c r="V1271" s="6" t="str">
        <f t="shared" si="22"/>
        <v/>
      </c>
    </row>
    <row r="1272" spans="22:22" x14ac:dyDescent="0.25">
      <c r="V1272" s="6" t="str">
        <f t="shared" si="22"/>
        <v/>
      </c>
    </row>
    <row r="1273" spans="22:22" x14ac:dyDescent="0.25">
      <c r="V1273" s="6" t="str">
        <f t="shared" si="22"/>
        <v/>
      </c>
    </row>
    <row r="1274" spans="22:22" x14ac:dyDescent="0.25">
      <c r="V1274" s="6" t="str">
        <f t="shared" si="22"/>
        <v/>
      </c>
    </row>
    <row r="1275" spans="22:22" x14ac:dyDescent="0.25">
      <c r="V1275" s="6" t="str">
        <f t="shared" si="22"/>
        <v/>
      </c>
    </row>
    <row r="1276" spans="22:22" x14ac:dyDescent="0.25">
      <c r="V1276" s="6" t="str">
        <f t="shared" si="22"/>
        <v/>
      </c>
    </row>
    <row r="1277" spans="22:22" x14ac:dyDescent="0.25">
      <c r="V1277" s="6" t="str">
        <f t="shared" si="22"/>
        <v/>
      </c>
    </row>
    <row r="1278" spans="22:22" x14ac:dyDescent="0.25">
      <c r="V1278" s="6" t="str">
        <f t="shared" si="22"/>
        <v/>
      </c>
    </row>
    <row r="1279" spans="22:22" x14ac:dyDescent="0.25">
      <c r="V1279" s="6" t="str">
        <f t="shared" si="22"/>
        <v/>
      </c>
    </row>
    <row r="1280" spans="22:22" x14ac:dyDescent="0.25">
      <c r="V1280" s="6" t="str">
        <f t="shared" si="22"/>
        <v/>
      </c>
    </row>
    <row r="1281" spans="22:22" x14ac:dyDescent="0.25">
      <c r="V1281" s="6" t="str">
        <f t="shared" si="22"/>
        <v/>
      </c>
    </row>
    <row r="1282" spans="22:22" x14ac:dyDescent="0.25">
      <c r="V1282" s="6" t="str">
        <f t="shared" si="22"/>
        <v/>
      </c>
    </row>
    <row r="1283" spans="22:22" x14ac:dyDescent="0.25">
      <c r="V1283" s="6" t="str">
        <f t="shared" si="22"/>
        <v/>
      </c>
    </row>
    <row r="1284" spans="22:22" x14ac:dyDescent="0.25">
      <c r="V1284" s="6" t="str">
        <f t="shared" si="22"/>
        <v/>
      </c>
    </row>
    <row r="1285" spans="22:22" x14ac:dyDescent="0.25">
      <c r="V1285" s="6" t="str">
        <f t="shared" si="22"/>
        <v/>
      </c>
    </row>
    <row r="1286" spans="22:22" x14ac:dyDescent="0.25">
      <c r="V1286" s="6" t="str">
        <f t="shared" si="22"/>
        <v/>
      </c>
    </row>
    <row r="1287" spans="22:22" x14ac:dyDescent="0.25">
      <c r="V1287" s="6" t="str">
        <f t="shared" si="22"/>
        <v/>
      </c>
    </row>
    <row r="1288" spans="22:22" x14ac:dyDescent="0.25">
      <c r="V1288" s="6" t="str">
        <f t="shared" si="22"/>
        <v/>
      </c>
    </row>
    <row r="1289" spans="22:22" x14ac:dyDescent="0.25">
      <c r="V1289" s="6" t="str">
        <f t="shared" si="22"/>
        <v/>
      </c>
    </row>
    <row r="1290" spans="22:22" x14ac:dyDescent="0.25">
      <c r="V1290" s="6" t="str">
        <f t="shared" si="22"/>
        <v/>
      </c>
    </row>
    <row r="1291" spans="22:22" x14ac:dyDescent="0.25">
      <c r="V1291" s="6" t="str">
        <f t="shared" si="22"/>
        <v/>
      </c>
    </row>
    <row r="1292" spans="22:22" x14ac:dyDescent="0.25">
      <c r="V1292" s="6" t="str">
        <f t="shared" si="22"/>
        <v/>
      </c>
    </row>
    <row r="1293" spans="22:22" x14ac:dyDescent="0.25">
      <c r="V1293" s="6" t="str">
        <f t="shared" si="22"/>
        <v/>
      </c>
    </row>
    <row r="1294" spans="22:22" x14ac:dyDescent="0.25">
      <c r="V1294" s="6" t="str">
        <f t="shared" si="22"/>
        <v/>
      </c>
    </row>
    <row r="1295" spans="22:22" x14ac:dyDescent="0.25">
      <c r="V1295" s="6" t="str">
        <f t="shared" si="22"/>
        <v/>
      </c>
    </row>
    <row r="1296" spans="22:22" x14ac:dyDescent="0.25">
      <c r="V1296" s="6" t="str">
        <f t="shared" si="22"/>
        <v/>
      </c>
    </row>
    <row r="1297" spans="22:22" x14ac:dyDescent="0.25">
      <c r="V1297" s="6" t="str">
        <f t="shared" si="22"/>
        <v/>
      </c>
    </row>
    <row r="1298" spans="22:22" x14ac:dyDescent="0.25">
      <c r="V1298" s="6" t="str">
        <f t="shared" si="22"/>
        <v/>
      </c>
    </row>
    <row r="1299" spans="22:22" x14ac:dyDescent="0.25">
      <c r="V1299" s="6" t="str">
        <f t="shared" si="22"/>
        <v/>
      </c>
    </row>
    <row r="1300" spans="22:22" x14ac:dyDescent="0.25">
      <c r="V1300" s="6" t="str">
        <f t="shared" si="22"/>
        <v/>
      </c>
    </row>
    <row r="1301" spans="22:22" x14ac:dyDescent="0.25">
      <c r="V1301" s="6" t="str">
        <f t="shared" si="22"/>
        <v/>
      </c>
    </row>
    <row r="1302" spans="22:22" x14ac:dyDescent="0.25">
      <c r="V1302" s="6" t="str">
        <f t="shared" si="22"/>
        <v/>
      </c>
    </row>
    <row r="1303" spans="22:22" x14ac:dyDescent="0.25">
      <c r="V1303" s="6" t="str">
        <f t="shared" si="22"/>
        <v/>
      </c>
    </row>
    <row r="1304" spans="22:22" x14ac:dyDescent="0.25">
      <c r="V1304" s="6" t="str">
        <f t="shared" si="22"/>
        <v/>
      </c>
    </row>
    <row r="1305" spans="22:22" x14ac:dyDescent="0.25">
      <c r="V1305" s="6" t="str">
        <f t="shared" si="22"/>
        <v/>
      </c>
    </row>
    <row r="1306" spans="22:22" x14ac:dyDescent="0.25">
      <c r="V1306" s="6" t="str">
        <f t="shared" si="22"/>
        <v/>
      </c>
    </row>
    <row r="1307" spans="22:22" x14ac:dyDescent="0.25">
      <c r="V1307" s="6" t="str">
        <f t="shared" si="22"/>
        <v/>
      </c>
    </row>
    <row r="1308" spans="22:22" x14ac:dyDescent="0.25">
      <c r="V1308" s="6" t="str">
        <f t="shared" si="22"/>
        <v/>
      </c>
    </row>
    <row r="1309" spans="22:22" x14ac:dyDescent="0.25">
      <c r="V1309" s="6" t="str">
        <f t="shared" si="22"/>
        <v/>
      </c>
    </row>
    <row r="1310" spans="22:22" x14ac:dyDescent="0.25">
      <c r="V1310" s="6" t="str">
        <f t="shared" si="22"/>
        <v/>
      </c>
    </row>
    <row r="1311" spans="22:22" x14ac:dyDescent="0.25">
      <c r="V1311" s="6" t="str">
        <f t="shared" si="22"/>
        <v/>
      </c>
    </row>
    <row r="1312" spans="22:22" x14ac:dyDescent="0.25">
      <c r="V1312" s="6" t="str">
        <f t="shared" si="22"/>
        <v/>
      </c>
    </row>
    <row r="1313" spans="22:22" x14ac:dyDescent="0.25">
      <c r="V1313" s="6" t="str">
        <f t="shared" si="22"/>
        <v/>
      </c>
    </row>
    <row r="1314" spans="22:22" x14ac:dyDescent="0.25">
      <c r="V1314" s="6" t="str">
        <f t="shared" si="22"/>
        <v/>
      </c>
    </row>
    <row r="1315" spans="22:22" x14ac:dyDescent="0.25">
      <c r="V1315" s="6" t="str">
        <f t="shared" si="22"/>
        <v/>
      </c>
    </row>
    <row r="1316" spans="22:22" x14ac:dyDescent="0.25">
      <c r="V1316" s="6" t="str">
        <f t="shared" si="22"/>
        <v/>
      </c>
    </row>
    <row r="1317" spans="22:22" x14ac:dyDescent="0.25">
      <c r="V1317" s="6" t="str">
        <f t="shared" si="22"/>
        <v/>
      </c>
    </row>
    <row r="1318" spans="22:22" x14ac:dyDescent="0.25">
      <c r="V1318" s="6" t="str">
        <f t="shared" si="22"/>
        <v/>
      </c>
    </row>
    <row r="1319" spans="22:22" x14ac:dyDescent="0.25">
      <c r="V1319" s="6" t="str">
        <f t="shared" si="22"/>
        <v/>
      </c>
    </row>
    <row r="1320" spans="22:22" x14ac:dyDescent="0.25">
      <c r="V1320" s="6" t="str">
        <f t="shared" si="22"/>
        <v/>
      </c>
    </row>
    <row r="1321" spans="22:22" x14ac:dyDescent="0.25">
      <c r="V1321" s="6" t="str">
        <f t="shared" si="22"/>
        <v/>
      </c>
    </row>
    <row r="1322" spans="22:22" x14ac:dyDescent="0.25">
      <c r="V1322" s="6" t="str">
        <f t="shared" si="22"/>
        <v/>
      </c>
    </row>
    <row r="1323" spans="22:22" x14ac:dyDescent="0.25">
      <c r="V1323" s="6" t="str">
        <f t="shared" si="22"/>
        <v/>
      </c>
    </row>
    <row r="1324" spans="22:22" x14ac:dyDescent="0.25">
      <c r="V1324" s="6" t="str">
        <f t="shared" si="22"/>
        <v/>
      </c>
    </row>
    <row r="1325" spans="22:22" x14ac:dyDescent="0.25">
      <c r="V1325" s="6" t="str">
        <f t="shared" si="22"/>
        <v/>
      </c>
    </row>
    <row r="1326" spans="22:22" x14ac:dyDescent="0.25">
      <c r="V1326" s="6" t="str">
        <f t="shared" si="22"/>
        <v/>
      </c>
    </row>
    <row r="1327" spans="22:22" x14ac:dyDescent="0.25">
      <c r="V1327" s="6" t="str">
        <f t="shared" si="22"/>
        <v/>
      </c>
    </row>
    <row r="1328" spans="22:22" x14ac:dyDescent="0.25">
      <c r="V1328" s="6" t="str">
        <f t="shared" ref="V1328:V1391" si="23">IFERROR(DATEVALUE(D1328),"")</f>
        <v/>
      </c>
    </row>
    <row r="1329" spans="22:22" x14ac:dyDescent="0.25">
      <c r="V1329" s="6" t="str">
        <f t="shared" si="23"/>
        <v/>
      </c>
    </row>
    <row r="1330" spans="22:22" x14ac:dyDescent="0.25">
      <c r="V1330" s="6" t="str">
        <f t="shared" si="23"/>
        <v/>
      </c>
    </row>
    <row r="1331" spans="22:22" x14ac:dyDescent="0.25">
      <c r="V1331" s="6" t="str">
        <f t="shared" si="23"/>
        <v/>
      </c>
    </row>
    <row r="1332" spans="22:22" x14ac:dyDescent="0.25">
      <c r="V1332" s="6" t="str">
        <f t="shared" si="23"/>
        <v/>
      </c>
    </row>
    <row r="1333" spans="22:22" x14ac:dyDescent="0.25">
      <c r="V1333" s="6" t="str">
        <f t="shared" si="23"/>
        <v/>
      </c>
    </row>
    <row r="1334" spans="22:22" x14ac:dyDescent="0.25">
      <c r="V1334" s="6" t="str">
        <f t="shared" si="23"/>
        <v/>
      </c>
    </row>
    <row r="1335" spans="22:22" x14ac:dyDescent="0.25">
      <c r="V1335" s="6" t="str">
        <f t="shared" si="23"/>
        <v/>
      </c>
    </row>
    <row r="1336" spans="22:22" x14ac:dyDescent="0.25">
      <c r="V1336" s="6" t="str">
        <f t="shared" si="23"/>
        <v/>
      </c>
    </row>
    <row r="1337" spans="22:22" x14ac:dyDescent="0.25">
      <c r="V1337" s="6" t="str">
        <f t="shared" si="23"/>
        <v/>
      </c>
    </row>
    <row r="1338" spans="22:22" x14ac:dyDescent="0.25">
      <c r="V1338" s="6" t="str">
        <f t="shared" si="23"/>
        <v/>
      </c>
    </row>
    <row r="1339" spans="22:22" x14ac:dyDescent="0.25">
      <c r="V1339" s="6" t="str">
        <f t="shared" si="23"/>
        <v/>
      </c>
    </row>
    <row r="1340" spans="22:22" x14ac:dyDescent="0.25">
      <c r="V1340" s="6" t="str">
        <f t="shared" si="23"/>
        <v/>
      </c>
    </row>
    <row r="1341" spans="22:22" x14ac:dyDescent="0.25">
      <c r="V1341" s="6" t="str">
        <f t="shared" si="23"/>
        <v/>
      </c>
    </row>
    <row r="1342" spans="22:22" x14ac:dyDescent="0.25">
      <c r="V1342" s="6" t="str">
        <f t="shared" si="23"/>
        <v/>
      </c>
    </row>
    <row r="1343" spans="22:22" x14ac:dyDescent="0.25">
      <c r="V1343" s="6" t="str">
        <f t="shared" si="23"/>
        <v/>
      </c>
    </row>
    <row r="1344" spans="22:22" x14ac:dyDescent="0.25">
      <c r="V1344" s="6" t="str">
        <f t="shared" si="23"/>
        <v/>
      </c>
    </row>
    <row r="1345" spans="22:22" x14ac:dyDescent="0.25">
      <c r="V1345" s="6" t="str">
        <f t="shared" si="23"/>
        <v/>
      </c>
    </row>
    <row r="1346" spans="22:22" x14ac:dyDescent="0.25">
      <c r="V1346" s="6" t="str">
        <f t="shared" si="23"/>
        <v/>
      </c>
    </row>
    <row r="1347" spans="22:22" x14ac:dyDescent="0.25">
      <c r="V1347" s="6" t="str">
        <f t="shared" si="23"/>
        <v/>
      </c>
    </row>
    <row r="1348" spans="22:22" x14ac:dyDescent="0.25">
      <c r="V1348" s="6" t="str">
        <f t="shared" si="23"/>
        <v/>
      </c>
    </row>
    <row r="1349" spans="22:22" x14ac:dyDescent="0.25">
      <c r="V1349" s="6" t="str">
        <f t="shared" si="23"/>
        <v/>
      </c>
    </row>
    <row r="1350" spans="22:22" x14ac:dyDescent="0.25">
      <c r="V1350" s="6" t="str">
        <f t="shared" si="23"/>
        <v/>
      </c>
    </row>
    <row r="1351" spans="22:22" x14ac:dyDescent="0.25">
      <c r="V1351" s="6" t="str">
        <f t="shared" si="23"/>
        <v/>
      </c>
    </row>
    <row r="1352" spans="22:22" x14ac:dyDescent="0.25">
      <c r="V1352" s="6" t="str">
        <f t="shared" si="23"/>
        <v/>
      </c>
    </row>
    <row r="1353" spans="22:22" x14ac:dyDescent="0.25">
      <c r="V1353" s="6" t="str">
        <f t="shared" si="23"/>
        <v/>
      </c>
    </row>
    <row r="1354" spans="22:22" x14ac:dyDescent="0.25">
      <c r="V1354" s="6" t="str">
        <f t="shared" si="23"/>
        <v/>
      </c>
    </row>
    <row r="1355" spans="22:22" x14ac:dyDescent="0.25">
      <c r="V1355" s="6" t="str">
        <f t="shared" si="23"/>
        <v/>
      </c>
    </row>
    <row r="1356" spans="22:22" x14ac:dyDescent="0.25">
      <c r="V1356" s="6" t="str">
        <f t="shared" si="23"/>
        <v/>
      </c>
    </row>
    <row r="1357" spans="22:22" x14ac:dyDescent="0.25">
      <c r="V1357" s="6" t="str">
        <f t="shared" si="23"/>
        <v/>
      </c>
    </row>
    <row r="1358" spans="22:22" x14ac:dyDescent="0.25">
      <c r="V1358" s="6" t="str">
        <f t="shared" si="23"/>
        <v/>
      </c>
    </row>
    <row r="1359" spans="22:22" x14ac:dyDescent="0.25">
      <c r="V1359" s="6" t="str">
        <f t="shared" si="23"/>
        <v/>
      </c>
    </row>
    <row r="1360" spans="22:22" x14ac:dyDescent="0.25">
      <c r="V1360" s="6" t="str">
        <f t="shared" si="23"/>
        <v/>
      </c>
    </row>
    <row r="1361" spans="22:22" x14ac:dyDescent="0.25">
      <c r="V1361" s="6" t="str">
        <f t="shared" si="23"/>
        <v/>
      </c>
    </row>
    <row r="1362" spans="22:22" x14ac:dyDescent="0.25">
      <c r="V1362" s="6" t="str">
        <f t="shared" si="23"/>
        <v/>
      </c>
    </row>
    <row r="1363" spans="22:22" x14ac:dyDescent="0.25">
      <c r="V1363" s="6" t="str">
        <f t="shared" si="23"/>
        <v/>
      </c>
    </row>
    <row r="1364" spans="22:22" x14ac:dyDescent="0.25">
      <c r="V1364" s="6" t="str">
        <f t="shared" si="23"/>
        <v/>
      </c>
    </row>
    <row r="1365" spans="22:22" x14ac:dyDescent="0.25">
      <c r="V1365" s="6" t="str">
        <f t="shared" si="23"/>
        <v/>
      </c>
    </row>
    <row r="1366" spans="22:22" x14ac:dyDescent="0.25">
      <c r="V1366" s="6" t="str">
        <f t="shared" si="23"/>
        <v/>
      </c>
    </row>
    <row r="1367" spans="22:22" x14ac:dyDescent="0.25">
      <c r="V1367" s="6" t="str">
        <f t="shared" si="23"/>
        <v/>
      </c>
    </row>
    <row r="1368" spans="22:22" x14ac:dyDescent="0.25">
      <c r="V1368" s="6" t="str">
        <f t="shared" si="23"/>
        <v/>
      </c>
    </row>
    <row r="1369" spans="22:22" x14ac:dyDescent="0.25">
      <c r="V1369" s="6" t="str">
        <f t="shared" si="23"/>
        <v/>
      </c>
    </row>
    <row r="1370" spans="22:22" x14ac:dyDescent="0.25">
      <c r="V1370" s="6" t="str">
        <f t="shared" si="23"/>
        <v/>
      </c>
    </row>
    <row r="1371" spans="22:22" x14ac:dyDescent="0.25">
      <c r="V1371" s="6" t="str">
        <f t="shared" si="23"/>
        <v/>
      </c>
    </row>
    <row r="1372" spans="22:22" x14ac:dyDescent="0.25">
      <c r="V1372" s="6" t="str">
        <f t="shared" si="23"/>
        <v/>
      </c>
    </row>
    <row r="1373" spans="22:22" x14ac:dyDescent="0.25">
      <c r="V1373" s="6" t="str">
        <f t="shared" si="23"/>
        <v/>
      </c>
    </row>
    <row r="1374" spans="22:22" x14ac:dyDescent="0.25">
      <c r="V1374" s="6" t="str">
        <f t="shared" si="23"/>
        <v/>
      </c>
    </row>
    <row r="1375" spans="22:22" x14ac:dyDescent="0.25">
      <c r="V1375" s="6" t="str">
        <f t="shared" si="23"/>
        <v/>
      </c>
    </row>
    <row r="1376" spans="22:22" x14ac:dyDescent="0.25">
      <c r="V1376" s="6" t="str">
        <f t="shared" si="23"/>
        <v/>
      </c>
    </row>
    <row r="1377" spans="22:22" x14ac:dyDescent="0.25">
      <c r="V1377" s="6" t="str">
        <f t="shared" si="23"/>
        <v/>
      </c>
    </row>
    <row r="1378" spans="22:22" x14ac:dyDescent="0.25">
      <c r="V1378" s="6" t="str">
        <f t="shared" si="23"/>
        <v/>
      </c>
    </row>
    <row r="1379" spans="22:22" x14ac:dyDescent="0.25">
      <c r="V1379" s="6" t="str">
        <f t="shared" si="23"/>
        <v/>
      </c>
    </row>
    <row r="1380" spans="22:22" x14ac:dyDescent="0.25">
      <c r="V1380" s="6" t="str">
        <f t="shared" si="23"/>
        <v/>
      </c>
    </row>
    <row r="1381" spans="22:22" x14ac:dyDescent="0.25">
      <c r="V1381" s="6" t="str">
        <f t="shared" si="23"/>
        <v/>
      </c>
    </row>
    <row r="1382" spans="22:22" x14ac:dyDescent="0.25">
      <c r="V1382" s="6" t="str">
        <f t="shared" si="23"/>
        <v/>
      </c>
    </row>
    <row r="1383" spans="22:22" x14ac:dyDescent="0.25">
      <c r="V1383" s="6" t="str">
        <f t="shared" si="23"/>
        <v/>
      </c>
    </row>
    <row r="1384" spans="22:22" x14ac:dyDescent="0.25">
      <c r="V1384" s="6" t="str">
        <f t="shared" si="23"/>
        <v/>
      </c>
    </row>
    <row r="1385" spans="22:22" x14ac:dyDescent="0.25">
      <c r="V1385" s="6" t="str">
        <f t="shared" si="23"/>
        <v/>
      </c>
    </row>
    <row r="1386" spans="22:22" x14ac:dyDescent="0.25">
      <c r="V1386" s="6" t="str">
        <f t="shared" si="23"/>
        <v/>
      </c>
    </row>
    <row r="1387" spans="22:22" x14ac:dyDescent="0.25">
      <c r="V1387" s="6" t="str">
        <f t="shared" si="23"/>
        <v/>
      </c>
    </row>
    <row r="1388" spans="22:22" x14ac:dyDescent="0.25">
      <c r="V1388" s="6" t="str">
        <f t="shared" si="23"/>
        <v/>
      </c>
    </row>
    <row r="1389" spans="22:22" x14ac:dyDescent="0.25">
      <c r="V1389" s="6" t="str">
        <f t="shared" si="23"/>
        <v/>
      </c>
    </row>
    <row r="1390" spans="22:22" x14ac:dyDescent="0.25">
      <c r="V1390" s="6" t="str">
        <f t="shared" si="23"/>
        <v/>
      </c>
    </row>
    <row r="1391" spans="22:22" x14ac:dyDescent="0.25">
      <c r="V1391" s="6" t="str">
        <f t="shared" si="23"/>
        <v/>
      </c>
    </row>
    <row r="1392" spans="22:22" x14ac:dyDescent="0.25">
      <c r="V1392" s="6" t="str">
        <f t="shared" ref="V1392:V1455" si="24">IFERROR(DATEVALUE(D1392),"")</f>
        <v/>
      </c>
    </row>
    <row r="1393" spans="22:22" x14ac:dyDescent="0.25">
      <c r="V1393" s="6" t="str">
        <f t="shared" si="24"/>
        <v/>
      </c>
    </row>
    <row r="1394" spans="22:22" x14ac:dyDescent="0.25">
      <c r="V1394" s="6" t="str">
        <f t="shared" si="24"/>
        <v/>
      </c>
    </row>
    <row r="1395" spans="22:22" x14ac:dyDescent="0.25">
      <c r="V1395" s="6" t="str">
        <f t="shared" si="24"/>
        <v/>
      </c>
    </row>
    <row r="1396" spans="22:22" x14ac:dyDescent="0.25">
      <c r="V1396" s="6" t="str">
        <f t="shared" si="24"/>
        <v/>
      </c>
    </row>
    <row r="1397" spans="22:22" x14ac:dyDescent="0.25">
      <c r="V1397" s="6" t="str">
        <f t="shared" si="24"/>
        <v/>
      </c>
    </row>
    <row r="1398" spans="22:22" x14ac:dyDescent="0.25">
      <c r="V1398" s="6" t="str">
        <f t="shared" si="24"/>
        <v/>
      </c>
    </row>
    <row r="1399" spans="22:22" x14ac:dyDescent="0.25">
      <c r="V1399" s="6" t="str">
        <f t="shared" si="24"/>
        <v/>
      </c>
    </row>
    <row r="1400" spans="22:22" x14ac:dyDescent="0.25">
      <c r="V1400" s="6" t="str">
        <f t="shared" si="24"/>
        <v/>
      </c>
    </row>
    <row r="1401" spans="22:22" x14ac:dyDescent="0.25">
      <c r="V1401" s="6" t="str">
        <f t="shared" si="24"/>
        <v/>
      </c>
    </row>
    <row r="1402" spans="22:22" x14ac:dyDescent="0.25">
      <c r="V1402" s="6" t="str">
        <f t="shared" si="24"/>
        <v/>
      </c>
    </row>
    <row r="1403" spans="22:22" x14ac:dyDescent="0.25">
      <c r="V1403" s="6" t="str">
        <f t="shared" si="24"/>
        <v/>
      </c>
    </row>
    <row r="1404" spans="22:22" x14ac:dyDescent="0.25">
      <c r="V1404" s="6" t="str">
        <f t="shared" si="24"/>
        <v/>
      </c>
    </row>
    <row r="1405" spans="22:22" x14ac:dyDescent="0.25">
      <c r="V1405" s="6" t="str">
        <f t="shared" si="24"/>
        <v/>
      </c>
    </row>
    <row r="1406" spans="22:22" x14ac:dyDescent="0.25">
      <c r="V1406" s="6" t="str">
        <f t="shared" si="24"/>
        <v/>
      </c>
    </row>
    <row r="1407" spans="22:22" x14ac:dyDescent="0.25">
      <c r="V1407" s="6" t="str">
        <f t="shared" si="24"/>
        <v/>
      </c>
    </row>
    <row r="1408" spans="22:22" x14ac:dyDescent="0.25">
      <c r="V1408" s="6" t="str">
        <f t="shared" si="24"/>
        <v/>
      </c>
    </row>
    <row r="1409" spans="22:22" x14ac:dyDescent="0.25">
      <c r="V1409" s="6" t="str">
        <f t="shared" si="24"/>
        <v/>
      </c>
    </row>
    <row r="1410" spans="22:22" x14ac:dyDescent="0.25">
      <c r="V1410" s="6" t="str">
        <f t="shared" si="24"/>
        <v/>
      </c>
    </row>
    <row r="1411" spans="22:22" x14ac:dyDescent="0.25">
      <c r="V1411" s="6" t="str">
        <f t="shared" si="24"/>
        <v/>
      </c>
    </row>
    <row r="1412" spans="22:22" x14ac:dyDescent="0.25">
      <c r="V1412" s="6" t="str">
        <f t="shared" si="24"/>
        <v/>
      </c>
    </row>
    <row r="1413" spans="22:22" x14ac:dyDescent="0.25">
      <c r="V1413" s="6" t="str">
        <f t="shared" si="24"/>
        <v/>
      </c>
    </row>
    <row r="1414" spans="22:22" x14ac:dyDescent="0.25">
      <c r="V1414" s="6" t="str">
        <f t="shared" si="24"/>
        <v/>
      </c>
    </row>
    <row r="1415" spans="22:22" x14ac:dyDescent="0.25">
      <c r="V1415" s="6" t="str">
        <f t="shared" si="24"/>
        <v/>
      </c>
    </row>
    <row r="1416" spans="22:22" x14ac:dyDescent="0.25">
      <c r="V1416" s="6" t="str">
        <f t="shared" si="24"/>
        <v/>
      </c>
    </row>
    <row r="1417" spans="22:22" x14ac:dyDescent="0.25">
      <c r="V1417" s="6" t="str">
        <f t="shared" si="24"/>
        <v/>
      </c>
    </row>
    <row r="1418" spans="22:22" x14ac:dyDescent="0.25">
      <c r="V1418" s="6" t="str">
        <f t="shared" si="24"/>
        <v/>
      </c>
    </row>
    <row r="1419" spans="22:22" x14ac:dyDescent="0.25">
      <c r="V1419" s="6" t="str">
        <f t="shared" si="24"/>
        <v/>
      </c>
    </row>
    <row r="1420" spans="22:22" x14ac:dyDescent="0.25">
      <c r="V1420" s="6" t="str">
        <f t="shared" si="24"/>
        <v/>
      </c>
    </row>
    <row r="1421" spans="22:22" x14ac:dyDescent="0.25">
      <c r="V1421" s="6" t="str">
        <f t="shared" si="24"/>
        <v/>
      </c>
    </row>
    <row r="1422" spans="22:22" x14ac:dyDescent="0.25">
      <c r="V1422" s="6" t="str">
        <f t="shared" si="24"/>
        <v/>
      </c>
    </row>
    <row r="1423" spans="22:22" x14ac:dyDescent="0.25">
      <c r="V1423" s="6" t="str">
        <f t="shared" si="24"/>
        <v/>
      </c>
    </row>
    <row r="1424" spans="22:22" x14ac:dyDescent="0.25">
      <c r="V1424" s="6" t="str">
        <f t="shared" si="24"/>
        <v/>
      </c>
    </row>
    <row r="1425" spans="22:22" x14ac:dyDescent="0.25">
      <c r="V1425" s="6" t="str">
        <f t="shared" si="24"/>
        <v/>
      </c>
    </row>
    <row r="1426" spans="22:22" x14ac:dyDescent="0.25">
      <c r="V1426" s="6" t="str">
        <f t="shared" si="24"/>
        <v/>
      </c>
    </row>
    <row r="1427" spans="22:22" x14ac:dyDescent="0.25">
      <c r="V1427" s="6" t="str">
        <f t="shared" si="24"/>
        <v/>
      </c>
    </row>
    <row r="1428" spans="22:22" x14ac:dyDescent="0.25">
      <c r="V1428" s="6" t="str">
        <f t="shared" si="24"/>
        <v/>
      </c>
    </row>
    <row r="1429" spans="22:22" x14ac:dyDescent="0.25">
      <c r="V1429" s="6" t="str">
        <f t="shared" si="24"/>
        <v/>
      </c>
    </row>
    <row r="1430" spans="22:22" x14ac:dyDescent="0.25">
      <c r="V1430" s="6" t="str">
        <f t="shared" si="24"/>
        <v/>
      </c>
    </row>
    <row r="1431" spans="22:22" x14ac:dyDescent="0.25">
      <c r="V1431" s="6" t="str">
        <f t="shared" si="24"/>
        <v/>
      </c>
    </row>
    <row r="1432" spans="22:22" x14ac:dyDescent="0.25">
      <c r="V1432" s="6" t="str">
        <f t="shared" si="24"/>
        <v/>
      </c>
    </row>
    <row r="1433" spans="22:22" x14ac:dyDescent="0.25">
      <c r="V1433" s="6" t="str">
        <f t="shared" si="24"/>
        <v/>
      </c>
    </row>
    <row r="1434" spans="22:22" x14ac:dyDescent="0.25">
      <c r="V1434" s="6" t="str">
        <f t="shared" si="24"/>
        <v/>
      </c>
    </row>
    <row r="1435" spans="22:22" x14ac:dyDescent="0.25">
      <c r="V1435" s="6" t="str">
        <f t="shared" si="24"/>
        <v/>
      </c>
    </row>
    <row r="1436" spans="22:22" x14ac:dyDescent="0.25">
      <c r="V1436" s="6" t="str">
        <f t="shared" si="24"/>
        <v/>
      </c>
    </row>
    <row r="1437" spans="22:22" x14ac:dyDescent="0.25">
      <c r="V1437" s="6" t="str">
        <f t="shared" si="24"/>
        <v/>
      </c>
    </row>
    <row r="1438" spans="22:22" x14ac:dyDescent="0.25">
      <c r="V1438" s="6" t="str">
        <f t="shared" si="24"/>
        <v/>
      </c>
    </row>
    <row r="1439" spans="22:22" x14ac:dyDescent="0.25">
      <c r="V1439" s="6" t="str">
        <f t="shared" si="24"/>
        <v/>
      </c>
    </row>
    <row r="1440" spans="22:22" x14ac:dyDescent="0.25">
      <c r="V1440" s="6" t="str">
        <f t="shared" si="24"/>
        <v/>
      </c>
    </row>
    <row r="1441" spans="22:22" x14ac:dyDescent="0.25">
      <c r="V1441" s="6" t="str">
        <f t="shared" si="24"/>
        <v/>
      </c>
    </row>
    <row r="1442" spans="22:22" x14ac:dyDescent="0.25">
      <c r="V1442" s="6" t="str">
        <f t="shared" si="24"/>
        <v/>
      </c>
    </row>
    <row r="1443" spans="22:22" x14ac:dyDescent="0.25">
      <c r="V1443" s="6" t="str">
        <f t="shared" si="24"/>
        <v/>
      </c>
    </row>
    <row r="1444" spans="22:22" x14ac:dyDescent="0.25">
      <c r="V1444" s="6" t="str">
        <f t="shared" si="24"/>
        <v/>
      </c>
    </row>
    <row r="1445" spans="22:22" x14ac:dyDescent="0.25">
      <c r="V1445" s="6" t="str">
        <f t="shared" si="24"/>
        <v/>
      </c>
    </row>
    <row r="1446" spans="22:22" x14ac:dyDescent="0.25">
      <c r="V1446" s="6" t="str">
        <f t="shared" si="24"/>
        <v/>
      </c>
    </row>
    <row r="1447" spans="22:22" x14ac:dyDescent="0.25">
      <c r="V1447" s="6" t="str">
        <f t="shared" si="24"/>
        <v/>
      </c>
    </row>
    <row r="1448" spans="22:22" x14ac:dyDescent="0.25">
      <c r="V1448" s="6" t="str">
        <f t="shared" si="24"/>
        <v/>
      </c>
    </row>
    <row r="1449" spans="22:22" x14ac:dyDescent="0.25">
      <c r="V1449" s="6" t="str">
        <f t="shared" si="24"/>
        <v/>
      </c>
    </row>
    <row r="1450" spans="22:22" x14ac:dyDescent="0.25">
      <c r="V1450" s="6" t="str">
        <f t="shared" si="24"/>
        <v/>
      </c>
    </row>
    <row r="1451" spans="22:22" x14ac:dyDescent="0.25">
      <c r="V1451" s="6" t="str">
        <f t="shared" si="24"/>
        <v/>
      </c>
    </row>
    <row r="1452" spans="22:22" x14ac:dyDescent="0.25">
      <c r="V1452" s="6" t="str">
        <f t="shared" si="24"/>
        <v/>
      </c>
    </row>
    <row r="1453" spans="22:22" x14ac:dyDescent="0.25">
      <c r="V1453" s="6" t="str">
        <f t="shared" si="24"/>
        <v/>
      </c>
    </row>
    <row r="1454" spans="22:22" x14ac:dyDescent="0.25">
      <c r="V1454" s="6" t="str">
        <f t="shared" si="24"/>
        <v/>
      </c>
    </row>
    <row r="1455" spans="22:22" x14ac:dyDescent="0.25">
      <c r="V1455" s="6" t="str">
        <f t="shared" si="24"/>
        <v/>
      </c>
    </row>
    <row r="1456" spans="22:22" x14ac:dyDescent="0.25">
      <c r="V1456" s="6" t="str">
        <f t="shared" ref="V1456:V1519" si="25">IFERROR(DATEVALUE(D1456),"")</f>
        <v/>
      </c>
    </row>
    <row r="1457" spans="22:22" x14ac:dyDescent="0.25">
      <c r="V1457" s="6" t="str">
        <f t="shared" si="25"/>
        <v/>
      </c>
    </row>
    <row r="1458" spans="22:22" x14ac:dyDescent="0.25">
      <c r="V1458" s="6" t="str">
        <f t="shared" si="25"/>
        <v/>
      </c>
    </row>
    <row r="1459" spans="22:22" x14ac:dyDescent="0.25">
      <c r="V1459" s="6" t="str">
        <f t="shared" si="25"/>
        <v/>
      </c>
    </row>
    <row r="1460" spans="22:22" x14ac:dyDescent="0.25">
      <c r="V1460" s="6" t="str">
        <f t="shared" si="25"/>
        <v/>
      </c>
    </row>
    <row r="1461" spans="22:22" x14ac:dyDescent="0.25">
      <c r="V1461" s="6" t="str">
        <f t="shared" si="25"/>
        <v/>
      </c>
    </row>
    <row r="1462" spans="22:22" x14ac:dyDescent="0.25">
      <c r="V1462" s="6" t="str">
        <f t="shared" si="25"/>
        <v/>
      </c>
    </row>
    <row r="1463" spans="22:22" x14ac:dyDescent="0.25">
      <c r="V1463" s="6" t="str">
        <f t="shared" si="25"/>
        <v/>
      </c>
    </row>
    <row r="1464" spans="22:22" x14ac:dyDescent="0.25">
      <c r="V1464" s="6" t="str">
        <f t="shared" si="25"/>
        <v/>
      </c>
    </row>
    <row r="1465" spans="22:22" x14ac:dyDescent="0.25">
      <c r="V1465" s="6" t="str">
        <f t="shared" si="25"/>
        <v/>
      </c>
    </row>
    <row r="1466" spans="22:22" x14ac:dyDescent="0.25">
      <c r="V1466" s="6" t="str">
        <f t="shared" si="25"/>
        <v/>
      </c>
    </row>
    <row r="1467" spans="22:22" x14ac:dyDescent="0.25">
      <c r="V1467" s="6" t="str">
        <f t="shared" si="25"/>
        <v/>
      </c>
    </row>
    <row r="1468" spans="22:22" x14ac:dyDescent="0.25">
      <c r="V1468" s="6" t="str">
        <f t="shared" si="25"/>
        <v/>
      </c>
    </row>
    <row r="1469" spans="22:22" x14ac:dyDescent="0.25">
      <c r="V1469" s="6" t="str">
        <f t="shared" si="25"/>
        <v/>
      </c>
    </row>
    <row r="1470" spans="22:22" x14ac:dyDescent="0.25">
      <c r="V1470" s="6" t="str">
        <f t="shared" si="25"/>
        <v/>
      </c>
    </row>
    <row r="1471" spans="22:22" x14ac:dyDescent="0.25">
      <c r="V1471" s="6" t="str">
        <f t="shared" si="25"/>
        <v/>
      </c>
    </row>
    <row r="1472" spans="22:22" x14ac:dyDescent="0.25">
      <c r="V1472" s="6" t="str">
        <f t="shared" si="25"/>
        <v/>
      </c>
    </row>
    <row r="1473" spans="22:22" x14ac:dyDescent="0.25">
      <c r="V1473" s="6" t="str">
        <f t="shared" si="25"/>
        <v/>
      </c>
    </row>
    <row r="1474" spans="22:22" x14ac:dyDescent="0.25">
      <c r="V1474" s="6" t="str">
        <f t="shared" si="25"/>
        <v/>
      </c>
    </row>
    <row r="1475" spans="22:22" x14ac:dyDescent="0.25">
      <c r="V1475" s="6" t="str">
        <f t="shared" si="25"/>
        <v/>
      </c>
    </row>
    <row r="1476" spans="22:22" x14ac:dyDescent="0.25">
      <c r="V1476" s="6" t="str">
        <f t="shared" si="25"/>
        <v/>
      </c>
    </row>
    <row r="1477" spans="22:22" x14ac:dyDescent="0.25">
      <c r="V1477" s="6" t="str">
        <f t="shared" si="25"/>
        <v/>
      </c>
    </row>
    <row r="1478" spans="22:22" x14ac:dyDescent="0.25">
      <c r="V1478" s="6" t="str">
        <f t="shared" si="25"/>
        <v/>
      </c>
    </row>
    <row r="1479" spans="22:22" x14ac:dyDescent="0.25">
      <c r="V1479" s="6" t="str">
        <f t="shared" si="25"/>
        <v/>
      </c>
    </row>
    <row r="1480" spans="22:22" x14ac:dyDescent="0.25">
      <c r="V1480" s="6" t="str">
        <f t="shared" si="25"/>
        <v/>
      </c>
    </row>
    <row r="1481" spans="22:22" x14ac:dyDescent="0.25">
      <c r="V1481" s="6" t="str">
        <f t="shared" si="25"/>
        <v/>
      </c>
    </row>
    <row r="1482" spans="22:22" x14ac:dyDescent="0.25">
      <c r="V1482" s="6" t="str">
        <f t="shared" si="25"/>
        <v/>
      </c>
    </row>
    <row r="1483" spans="22:22" x14ac:dyDescent="0.25">
      <c r="V1483" s="6" t="str">
        <f t="shared" si="25"/>
        <v/>
      </c>
    </row>
    <row r="1484" spans="22:22" x14ac:dyDescent="0.25">
      <c r="V1484" s="6" t="str">
        <f t="shared" si="25"/>
        <v/>
      </c>
    </row>
    <row r="1485" spans="22:22" x14ac:dyDescent="0.25">
      <c r="V1485" s="6" t="str">
        <f t="shared" si="25"/>
        <v/>
      </c>
    </row>
    <row r="1486" spans="22:22" x14ac:dyDescent="0.25">
      <c r="V1486" s="6" t="str">
        <f t="shared" si="25"/>
        <v/>
      </c>
    </row>
    <row r="1487" spans="22:22" x14ac:dyDescent="0.25">
      <c r="V1487" s="6" t="str">
        <f t="shared" si="25"/>
        <v/>
      </c>
    </row>
    <row r="1488" spans="22:22" x14ac:dyDescent="0.25">
      <c r="V1488" s="6" t="str">
        <f t="shared" si="25"/>
        <v/>
      </c>
    </row>
    <row r="1489" spans="22:22" x14ac:dyDescent="0.25">
      <c r="V1489" s="6" t="str">
        <f t="shared" si="25"/>
        <v/>
      </c>
    </row>
    <row r="1490" spans="22:22" x14ac:dyDescent="0.25">
      <c r="V1490" s="6" t="str">
        <f t="shared" si="25"/>
        <v/>
      </c>
    </row>
    <row r="1491" spans="22:22" x14ac:dyDescent="0.25">
      <c r="V1491" s="6" t="str">
        <f t="shared" si="25"/>
        <v/>
      </c>
    </row>
    <row r="1492" spans="22:22" x14ac:dyDescent="0.25">
      <c r="V1492" s="6" t="str">
        <f t="shared" si="25"/>
        <v/>
      </c>
    </row>
    <row r="1493" spans="22:22" x14ac:dyDescent="0.25">
      <c r="V1493" s="6" t="str">
        <f t="shared" si="25"/>
        <v/>
      </c>
    </row>
    <row r="1494" spans="22:22" x14ac:dyDescent="0.25">
      <c r="V1494" s="6" t="str">
        <f t="shared" si="25"/>
        <v/>
      </c>
    </row>
    <row r="1495" spans="22:22" x14ac:dyDescent="0.25">
      <c r="V1495" s="6" t="str">
        <f t="shared" si="25"/>
        <v/>
      </c>
    </row>
    <row r="1496" spans="22:22" x14ac:dyDescent="0.25">
      <c r="V1496" s="6" t="str">
        <f t="shared" si="25"/>
        <v/>
      </c>
    </row>
    <row r="1497" spans="22:22" x14ac:dyDescent="0.25">
      <c r="V1497" s="6" t="str">
        <f t="shared" si="25"/>
        <v/>
      </c>
    </row>
    <row r="1498" spans="22:22" x14ac:dyDescent="0.25">
      <c r="V1498" s="6" t="str">
        <f t="shared" si="25"/>
        <v/>
      </c>
    </row>
    <row r="1499" spans="22:22" x14ac:dyDescent="0.25">
      <c r="V1499" s="6" t="str">
        <f t="shared" si="25"/>
        <v/>
      </c>
    </row>
    <row r="1500" spans="22:22" x14ac:dyDescent="0.25">
      <c r="V1500" s="6" t="str">
        <f t="shared" si="25"/>
        <v/>
      </c>
    </row>
    <row r="1501" spans="22:22" x14ac:dyDescent="0.25">
      <c r="V1501" s="6" t="str">
        <f t="shared" si="25"/>
        <v/>
      </c>
    </row>
    <row r="1502" spans="22:22" x14ac:dyDescent="0.25">
      <c r="V1502" s="6" t="str">
        <f t="shared" si="25"/>
        <v/>
      </c>
    </row>
    <row r="1503" spans="22:22" x14ac:dyDescent="0.25">
      <c r="V1503" s="6" t="str">
        <f t="shared" si="25"/>
        <v/>
      </c>
    </row>
    <row r="1504" spans="22:22" x14ac:dyDescent="0.25">
      <c r="V1504" s="6" t="str">
        <f t="shared" si="25"/>
        <v/>
      </c>
    </row>
    <row r="1505" spans="22:22" x14ac:dyDescent="0.25">
      <c r="V1505" s="6" t="str">
        <f t="shared" si="25"/>
        <v/>
      </c>
    </row>
    <row r="1506" spans="22:22" x14ac:dyDescent="0.25">
      <c r="V1506" s="6" t="str">
        <f t="shared" si="25"/>
        <v/>
      </c>
    </row>
    <row r="1507" spans="22:22" x14ac:dyDescent="0.25">
      <c r="V1507" s="6" t="str">
        <f t="shared" si="25"/>
        <v/>
      </c>
    </row>
    <row r="1508" spans="22:22" x14ac:dyDescent="0.25">
      <c r="V1508" s="6" t="str">
        <f t="shared" si="25"/>
        <v/>
      </c>
    </row>
    <row r="1509" spans="22:22" x14ac:dyDescent="0.25">
      <c r="V1509" s="6" t="str">
        <f t="shared" si="25"/>
        <v/>
      </c>
    </row>
    <row r="1510" spans="22:22" x14ac:dyDescent="0.25">
      <c r="V1510" s="6" t="str">
        <f t="shared" si="25"/>
        <v/>
      </c>
    </row>
    <row r="1511" spans="22:22" x14ac:dyDescent="0.25">
      <c r="V1511" s="6" t="str">
        <f t="shared" si="25"/>
        <v/>
      </c>
    </row>
    <row r="1512" spans="22:22" x14ac:dyDescent="0.25">
      <c r="V1512" s="6" t="str">
        <f t="shared" si="25"/>
        <v/>
      </c>
    </row>
    <row r="1513" spans="22:22" x14ac:dyDescent="0.25">
      <c r="V1513" s="6" t="str">
        <f t="shared" si="25"/>
        <v/>
      </c>
    </row>
    <row r="1514" spans="22:22" x14ac:dyDescent="0.25">
      <c r="V1514" s="6" t="str">
        <f t="shared" si="25"/>
        <v/>
      </c>
    </row>
    <row r="1515" spans="22:22" x14ac:dyDescent="0.25">
      <c r="V1515" s="6" t="str">
        <f t="shared" si="25"/>
        <v/>
      </c>
    </row>
    <row r="1516" spans="22:22" x14ac:dyDescent="0.25">
      <c r="V1516" s="6" t="str">
        <f t="shared" si="25"/>
        <v/>
      </c>
    </row>
    <row r="1517" spans="22:22" x14ac:dyDescent="0.25">
      <c r="V1517" s="6" t="str">
        <f t="shared" si="25"/>
        <v/>
      </c>
    </row>
    <row r="1518" spans="22:22" x14ac:dyDescent="0.25">
      <c r="V1518" s="6" t="str">
        <f t="shared" si="25"/>
        <v/>
      </c>
    </row>
    <row r="1519" spans="22:22" x14ac:dyDescent="0.25">
      <c r="V1519" s="6" t="str">
        <f t="shared" si="25"/>
        <v/>
      </c>
    </row>
    <row r="1520" spans="22:22" x14ac:dyDescent="0.25">
      <c r="V1520" s="6" t="str">
        <f t="shared" ref="V1520:V1583" si="26">IFERROR(DATEVALUE(D1520),"")</f>
        <v/>
      </c>
    </row>
    <row r="1521" spans="22:22" x14ac:dyDescent="0.25">
      <c r="V1521" s="6" t="str">
        <f t="shared" si="26"/>
        <v/>
      </c>
    </row>
    <row r="1522" spans="22:22" x14ac:dyDescent="0.25">
      <c r="V1522" s="6" t="str">
        <f t="shared" si="26"/>
        <v/>
      </c>
    </row>
    <row r="1523" spans="22:22" x14ac:dyDescent="0.25">
      <c r="V1523" s="6" t="str">
        <f t="shared" si="26"/>
        <v/>
      </c>
    </row>
    <row r="1524" spans="22:22" x14ac:dyDescent="0.25">
      <c r="V1524" s="6" t="str">
        <f t="shared" si="26"/>
        <v/>
      </c>
    </row>
    <row r="1525" spans="22:22" x14ac:dyDescent="0.25">
      <c r="V1525" s="6" t="str">
        <f t="shared" si="26"/>
        <v/>
      </c>
    </row>
    <row r="1526" spans="22:22" x14ac:dyDescent="0.25">
      <c r="V1526" s="6" t="str">
        <f t="shared" si="26"/>
        <v/>
      </c>
    </row>
    <row r="1527" spans="22:22" x14ac:dyDescent="0.25">
      <c r="V1527" s="6" t="str">
        <f t="shared" si="26"/>
        <v/>
      </c>
    </row>
    <row r="1528" spans="22:22" x14ac:dyDescent="0.25">
      <c r="V1528" s="6" t="str">
        <f t="shared" si="26"/>
        <v/>
      </c>
    </row>
    <row r="1529" spans="22:22" x14ac:dyDescent="0.25">
      <c r="V1529" s="6" t="str">
        <f t="shared" si="26"/>
        <v/>
      </c>
    </row>
    <row r="1530" spans="22:22" x14ac:dyDescent="0.25">
      <c r="V1530" s="6" t="str">
        <f t="shared" si="26"/>
        <v/>
      </c>
    </row>
    <row r="1531" spans="22:22" x14ac:dyDescent="0.25">
      <c r="V1531" s="6" t="str">
        <f t="shared" si="26"/>
        <v/>
      </c>
    </row>
    <row r="1532" spans="22:22" x14ac:dyDescent="0.25">
      <c r="V1532" s="6" t="str">
        <f t="shared" si="26"/>
        <v/>
      </c>
    </row>
    <row r="1533" spans="22:22" x14ac:dyDescent="0.25">
      <c r="V1533" s="6" t="str">
        <f t="shared" si="26"/>
        <v/>
      </c>
    </row>
    <row r="1534" spans="22:22" x14ac:dyDescent="0.25">
      <c r="V1534" s="6" t="str">
        <f t="shared" si="26"/>
        <v/>
      </c>
    </row>
    <row r="1535" spans="22:22" x14ac:dyDescent="0.25">
      <c r="V1535" s="6" t="str">
        <f t="shared" si="26"/>
        <v/>
      </c>
    </row>
    <row r="1536" spans="22:22" x14ac:dyDescent="0.25">
      <c r="V1536" s="6" t="str">
        <f t="shared" si="26"/>
        <v/>
      </c>
    </row>
    <row r="1537" spans="22:22" x14ac:dyDescent="0.25">
      <c r="V1537" s="6" t="str">
        <f t="shared" si="26"/>
        <v/>
      </c>
    </row>
    <row r="1538" spans="22:22" x14ac:dyDescent="0.25">
      <c r="V1538" s="6" t="str">
        <f t="shared" si="26"/>
        <v/>
      </c>
    </row>
    <row r="1539" spans="22:22" x14ac:dyDescent="0.25">
      <c r="V1539" s="6" t="str">
        <f t="shared" si="26"/>
        <v/>
      </c>
    </row>
    <row r="1540" spans="22:22" x14ac:dyDescent="0.25">
      <c r="V1540" s="6" t="str">
        <f t="shared" si="26"/>
        <v/>
      </c>
    </row>
    <row r="1541" spans="22:22" x14ac:dyDescent="0.25">
      <c r="V1541" s="6" t="str">
        <f t="shared" si="26"/>
        <v/>
      </c>
    </row>
    <row r="1542" spans="22:22" x14ac:dyDescent="0.25">
      <c r="V1542" s="6" t="str">
        <f t="shared" si="26"/>
        <v/>
      </c>
    </row>
    <row r="1543" spans="22:22" x14ac:dyDescent="0.25">
      <c r="V1543" s="6" t="str">
        <f t="shared" si="26"/>
        <v/>
      </c>
    </row>
    <row r="1544" spans="22:22" x14ac:dyDescent="0.25">
      <c r="V1544" s="6" t="str">
        <f t="shared" si="26"/>
        <v/>
      </c>
    </row>
    <row r="1545" spans="22:22" x14ac:dyDescent="0.25">
      <c r="V1545" s="6" t="str">
        <f t="shared" si="26"/>
        <v/>
      </c>
    </row>
    <row r="1546" spans="22:22" x14ac:dyDescent="0.25">
      <c r="V1546" s="6" t="str">
        <f t="shared" si="26"/>
        <v/>
      </c>
    </row>
    <row r="1547" spans="22:22" x14ac:dyDescent="0.25">
      <c r="V1547" s="6" t="str">
        <f t="shared" si="26"/>
        <v/>
      </c>
    </row>
    <row r="1548" spans="22:22" x14ac:dyDescent="0.25">
      <c r="V1548" s="6" t="str">
        <f t="shared" si="26"/>
        <v/>
      </c>
    </row>
    <row r="1549" spans="22:22" x14ac:dyDescent="0.25">
      <c r="V1549" s="6" t="str">
        <f t="shared" si="26"/>
        <v/>
      </c>
    </row>
    <row r="1550" spans="22:22" x14ac:dyDescent="0.25">
      <c r="V1550" s="6" t="str">
        <f t="shared" si="26"/>
        <v/>
      </c>
    </row>
    <row r="1551" spans="22:22" x14ac:dyDescent="0.25">
      <c r="V1551" s="6" t="str">
        <f t="shared" si="26"/>
        <v/>
      </c>
    </row>
    <row r="1552" spans="22:22" x14ac:dyDescent="0.25">
      <c r="V1552" s="6" t="str">
        <f t="shared" si="26"/>
        <v/>
      </c>
    </row>
    <row r="1553" spans="22:22" x14ac:dyDescent="0.25">
      <c r="V1553" s="6" t="str">
        <f t="shared" si="26"/>
        <v/>
      </c>
    </row>
    <row r="1554" spans="22:22" x14ac:dyDescent="0.25">
      <c r="V1554" s="6" t="str">
        <f t="shared" si="26"/>
        <v/>
      </c>
    </row>
    <row r="1555" spans="22:22" x14ac:dyDescent="0.25">
      <c r="V1555" s="6" t="str">
        <f t="shared" si="26"/>
        <v/>
      </c>
    </row>
    <row r="1556" spans="22:22" x14ac:dyDescent="0.25">
      <c r="V1556" s="6" t="str">
        <f t="shared" si="26"/>
        <v/>
      </c>
    </row>
    <row r="1557" spans="22:22" x14ac:dyDescent="0.25">
      <c r="V1557" s="6" t="str">
        <f t="shared" si="26"/>
        <v/>
      </c>
    </row>
    <row r="1558" spans="22:22" x14ac:dyDescent="0.25">
      <c r="V1558" s="6" t="str">
        <f t="shared" si="26"/>
        <v/>
      </c>
    </row>
    <row r="1559" spans="22:22" x14ac:dyDescent="0.25">
      <c r="V1559" s="6" t="str">
        <f t="shared" si="26"/>
        <v/>
      </c>
    </row>
    <row r="1560" spans="22:22" x14ac:dyDescent="0.25">
      <c r="V1560" s="6" t="str">
        <f t="shared" si="26"/>
        <v/>
      </c>
    </row>
    <row r="1561" spans="22:22" x14ac:dyDescent="0.25">
      <c r="V1561" s="6" t="str">
        <f t="shared" si="26"/>
        <v/>
      </c>
    </row>
    <row r="1562" spans="22:22" x14ac:dyDescent="0.25">
      <c r="V1562" s="6" t="str">
        <f t="shared" si="26"/>
        <v/>
      </c>
    </row>
    <row r="1563" spans="22:22" x14ac:dyDescent="0.25">
      <c r="V1563" s="6" t="str">
        <f t="shared" si="26"/>
        <v/>
      </c>
    </row>
    <row r="1564" spans="22:22" x14ac:dyDescent="0.25">
      <c r="V1564" s="6" t="str">
        <f t="shared" si="26"/>
        <v/>
      </c>
    </row>
    <row r="1565" spans="22:22" x14ac:dyDescent="0.25">
      <c r="V1565" s="6" t="str">
        <f t="shared" si="26"/>
        <v/>
      </c>
    </row>
    <row r="1566" spans="22:22" x14ac:dyDescent="0.25">
      <c r="V1566" s="6" t="str">
        <f t="shared" si="26"/>
        <v/>
      </c>
    </row>
    <row r="1567" spans="22:22" x14ac:dyDescent="0.25">
      <c r="V1567" s="6" t="str">
        <f t="shared" si="26"/>
        <v/>
      </c>
    </row>
    <row r="1568" spans="22:22" x14ac:dyDescent="0.25">
      <c r="V1568" s="6" t="str">
        <f t="shared" si="26"/>
        <v/>
      </c>
    </row>
    <row r="1569" spans="22:22" x14ac:dyDescent="0.25">
      <c r="V1569" s="6" t="str">
        <f t="shared" si="26"/>
        <v/>
      </c>
    </row>
    <row r="1570" spans="22:22" x14ac:dyDescent="0.25">
      <c r="V1570" s="6" t="str">
        <f t="shared" si="26"/>
        <v/>
      </c>
    </row>
    <row r="1571" spans="22:22" x14ac:dyDescent="0.25">
      <c r="V1571" s="6" t="str">
        <f t="shared" si="26"/>
        <v/>
      </c>
    </row>
    <row r="1572" spans="22:22" x14ac:dyDescent="0.25">
      <c r="V1572" s="6" t="str">
        <f t="shared" si="26"/>
        <v/>
      </c>
    </row>
    <row r="1573" spans="22:22" x14ac:dyDescent="0.25">
      <c r="V1573" s="6" t="str">
        <f t="shared" si="26"/>
        <v/>
      </c>
    </row>
    <row r="1574" spans="22:22" x14ac:dyDescent="0.25">
      <c r="V1574" s="6" t="str">
        <f t="shared" si="26"/>
        <v/>
      </c>
    </row>
    <row r="1575" spans="22:22" x14ac:dyDescent="0.25">
      <c r="V1575" s="6" t="str">
        <f t="shared" si="26"/>
        <v/>
      </c>
    </row>
    <row r="1576" spans="22:22" x14ac:dyDescent="0.25">
      <c r="V1576" s="6" t="str">
        <f t="shared" si="26"/>
        <v/>
      </c>
    </row>
    <row r="1577" spans="22:22" x14ac:dyDescent="0.25">
      <c r="V1577" s="6" t="str">
        <f t="shared" si="26"/>
        <v/>
      </c>
    </row>
    <row r="1578" spans="22:22" x14ac:dyDescent="0.25">
      <c r="V1578" s="6" t="str">
        <f t="shared" si="26"/>
        <v/>
      </c>
    </row>
    <row r="1579" spans="22:22" x14ac:dyDescent="0.25">
      <c r="V1579" s="6" t="str">
        <f t="shared" si="26"/>
        <v/>
      </c>
    </row>
    <row r="1580" spans="22:22" x14ac:dyDescent="0.25">
      <c r="V1580" s="6" t="str">
        <f t="shared" si="26"/>
        <v/>
      </c>
    </row>
    <row r="1581" spans="22:22" x14ac:dyDescent="0.25">
      <c r="V1581" s="6" t="str">
        <f t="shared" si="26"/>
        <v/>
      </c>
    </row>
    <row r="1582" spans="22:22" x14ac:dyDescent="0.25">
      <c r="V1582" s="6" t="str">
        <f t="shared" si="26"/>
        <v/>
      </c>
    </row>
    <row r="1583" spans="22:22" x14ac:dyDescent="0.25">
      <c r="V1583" s="6" t="str">
        <f t="shared" si="26"/>
        <v/>
      </c>
    </row>
    <row r="1584" spans="22:22" x14ac:dyDescent="0.25">
      <c r="V1584" s="6" t="str">
        <f t="shared" ref="V1584:V1647" si="27">IFERROR(DATEVALUE(D1584),"")</f>
        <v/>
      </c>
    </row>
    <row r="1585" spans="22:22" x14ac:dyDescent="0.25">
      <c r="V1585" s="6" t="str">
        <f t="shared" si="27"/>
        <v/>
      </c>
    </row>
    <row r="1586" spans="22:22" x14ac:dyDescent="0.25">
      <c r="V1586" s="6" t="str">
        <f t="shared" si="27"/>
        <v/>
      </c>
    </row>
    <row r="1587" spans="22:22" x14ac:dyDescent="0.25">
      <c r="V1587" s="6" t="str">
        <f t="shared" si="27"/>
        <v/>
      </c>
    </row>
    <row r="1588" spans="22:22" x14ac:dyDescent="0.25">
      <c r="V1588" s="6" t="str">
        <f t="shared" si="27"/>
        <v/>
      </c>
    </row>
    <row r="1589" spans="22:22" x14ac:dyDescent="0.25">
      <c r="V1589" s="6" t="str">
        <f t="shared" si="27"/>
        <v/>
      </c>
    </row>
    <row r="1590" spans="22:22" x14ac:dyDescent="0.25">
      <c r="V1590" s="6" t="str">
        <f t="shared" si="27"/>
        <v/>
      </c>
    </row>
    <row r="1591" spans="22:22" x14ac:dyDescent="0.25">
      <c r="V1591" s="6" t="str">
        <f t="shared" si="27"/>
        <v/>
      </c>
    </row>
    <row r="1592" spans="22:22" x14ac:dyDescent="0.25">
      <c r="V1592" s="6" t="str">
        <f t="shared" si="27"/>
        <v/>
      </c>
    </row>
    <row r="1593" spans="22:22" x14ac:dyDescent="0.25">
      <c r="V1593" s="6" t="str">
        <f t="shared" si="27"/>
        <v/>
      </c>
    </row>
    <row r="1594" spans="22:22" x14ac:dyDescent="0.25">
      <c r="V1594" s="6" t="str">
        <f t="shared" si="27"/>
        <v/>
      </c>
    </row>
    <row r="1595" spans="22:22" x14ac:dyDescent="0.25">
      <c r="V1595" s="6" t="str">
        <f t="shared" si="27"/>
        <v/>
      </c>
    </row>
    <row r="1596" spans="22:22" x14ac:dyDescent="0.25">
      <c r="V1596" s="6" t="str">
        <f t="shared" si="27"/>
        <v/>
      </c>
    </row>
    <row r="1597" spans="22:22" x14ac:dyDescent="0.25">
      <c r="V1597" s="6" t="str">
        <f t="shared" si="27"/>
        <v/>
      </c>
    </row>
    <row r="1598" spans="22:22" x14ac:dyDescent="0.25">
      <c r="V1598" s="6" t="str">
        <f t="shared" si="27"/>
        <v/>
      </c>
    </row>
    <row r="1599" spans="22:22" x14ac:dyDescent="0.25">
      <c r="V1599" s="6" t="str">
        <f t="shared" si="27"/>
        <v/>
      </c>
    </row>
    <row r="1600" spans="22:22" x14ac:dyDescent="0.25">
      <c r="V1600" s="6" t="str">
        <f t="shared" si="27"/>
        <v/>
      </c>
    </row>
    <row r="1601" spans="22:22" x14ac:dyDescent="0.25">
      <c r="V1601" s="6" t="str">
        <f t="shared" si="27"/>
        <v/>
      </c>
    </row>
    <row r="1602" spans="22:22" x14ac:dyDescent="0.25">
      <c r="V1602" s="6" t="str">
        <f t="shared" si="27"/>
        <v/>
      </c>
    </row>
    <row r="1603" spans="22:22" x14ac:dyDescent="0.25">
      <c r="V1603" s="6" t="str">
        <f t="shared" si="27"/>
        <v/>
      </c>
    </row>
    <row r="1604" spans="22:22" x14ac:dyDescent="0.25">
      <c r="V1604" s="6" t="str">
        <f t="shared" si="27"/>
        <v/>
      </c>
    </row>
    <row r="1605" spans="22:22" x14ac:dyDescent="0.25">
      <c r="V1605" s="6" t="str">
        <f t="shared" si="27"/>
        <v/>
      </c>
    </row>
    <row r="1606" spans="22:22" x14ac:dyDescent="0.25">
      <c r="V1606" s="6" t="str">
        <f t="shared" si="27"/>
        <v/>
      </c>
    </row>
    <row r="1607" spans="22:22" x14ac:dyDescent="0.25">
      <c r="V1607" s="6" t="str">
        <f t="shared" si="27"/>
        <v/>
      </c>
    </row>
    <row r="1608" spans="22:22" x14ac:dyDescent="0.25">
      <c r="V1608" s="6" t="str">
        <f t="shared" si="27"/>
        <v/>
      </c>
    </row>
    <row r="1609" spans="22:22" x14ac:dyDescent="0.25">
      <c r="V1609" s="6" t="str">
        <f t="shared" si="27"/>
        <v/>
      </c>
    </row>
    <row r="1610" spans="22:22" x14ac:dyDescent="0.25">
      <c r="V1610" s="6" t="str">
        <f t="shared" si="27"/>
        <v/>
      </c>
    </row>
    <row r="1611" spans="22:22" x14ac:dyDescent="0.25">
      <c r="V1611" s="6" t="str">
        <f t="shared" si="27"/>
        <v/>
      </c>
    </row>
    <row r="1612" spans="22:22" x14ac:dyDescent="0.25">
      <c r="V1612" s="6" t="str">
        <f t="shared" si="27"/>
        <v/>
      </c>
    </row>
    <row r="1613" spans="22:22" x14ac:dyDescent="0.25">
      <c r="V1613" s="6" t="str">
        <f t="shared" si="27"/>
        <v/>
      </c>
    </row>
    <row r="1614" spans="22:22" x14ac:dyDescent="0.25">
      <c r="V1614" s="6" t="str">
        <f t="shared" si="27"/>
        <v/>
      </c>
    </row>
    <row r="1615" spans="22:22" x14ac:dyDescent="0.25">
      <c r="V1615" s="6" t="str">
        <f t="shared" si="27"/>
        <v/>
      </c>
    </row>
    <row r="1616" spans="22:22" x14ac:dyDescent="0.25">
      <c r="V1616" s="6" t="str">
        <f t="shared" si="27"/>
        <v/>
      </c>
    </row>
    <row r="1617" spans="22:22" x14ac:dyDescent="0.25">
      <c r="V1617" s="6" t="str">
        <f t="shared" si="27"/>
        <v/>
      </c>
    </row>
    <row r="1618" spans="22:22" x14ac:dyDescent="0.25">
      <c r="V1618" s="6" t="str">
        <f t="shared" si="27"/>
        <v/>
      </c>
    </row>
    <row r="1619" spans="22:22" x14ac:dyDescent="0.25">
      <c r="V1619" s="6" t="str">
        <f t="shared" si="27"/>
        <v/>
      </c>
    </row>
    <row r="1620" spans="22:22" x14ac:dyDescent="0.25">
      <c r="V1620" s="6" t="str">
        <f t="shared" si="27"/>
        <v/>
      </c>
    </row>
    <row r="1621" spans="22:22" x14ac:dyDescent="0.25">
      <c r="V1621" s="6" t="str">
        <f t="shared" si="27"/>
        <v/>
      </c>
    </row>
    <row r="1622" spans="22:22" x14ac:dyDescent="0.25">
      <c r="V1622" s="6" t="str">
        <f t="shared" si="27"/>
        <v/>
      </c>
    </row>
    <row r="1623" spans="22:22" x14ac:dyDescent="0.25">
      <c r="V1623" s="6" t="str">
        <f t="shared" si="27"/>
        <v/>
      </c>
    </row>
    <row r="1624" spans="22:22" x14ac:dyDescent="0.25">
      <c r="V1624" s="6" t="str">
        <f t="shared" si="27"/>
        <v/>
      </c>
    </row>
    <row r="1625" spans="22:22" x14ac:dyDescent="0.25">
      <c r="V1625" s="6" t="str">
        <f t="shared" si="27"/>
        <v/>
      </c>
    </row>
    <row r="1626" spans="22:22" x14ac:dyDescent="0.25">
      <c r="V1626" s="6" t="str">
        <f t="shared" si="27"/>
        <v/>
      </c>
    </row>
    <row r="1627" spans="22:22" x14ac:dyDescent="0.25">
      <c r="V1627" s="6" t="str">
        <f t="shared" si="27"/>
        <v/>
      </c>
    </row>
    <row r="1628" spans="22:22" x14ac:dyDescent="0.25">
      <c r="V1628" s="6" t="str">
        <f t="shared" si="27"/>
        <v/>
      </c>
    </row>
    <row r="1629" spans="22:22" x14ac:dyDescent="0.25">
      <c r="V1629" s="6" t="str">
        <f t="shared" si="27"/>
        <v/>
      </c>
    </row>
    <row r="1630" spans="22:22" x14ac:dyDescent="0.25">
      <c r="V1630" s="6" t="str">
        <f t="shared" si="27"/>
        <v/>
      </c>
    </row>
    <row r="1631" spans="22:22" x14ac:dyDescent="0.25">
      <c r="V1631" s="6" t="str">
        <f t="shared" si="27"/>
        <v/>
      </c>
    </row>
    <row r="1632" spans="22:22" x14ac:dyDescent="0.25">
      <c r="V1632" s="6" t="str">
        <f t="shared" si="27"/>
        <v/>
      </c>
    </row>
    <row r="1633" spans="22:22" x14ac:dyDescent="0.25">
      <c r="V1633" s="6" t="str">
        <f t="shared" si="27"/>
        <v/>
      </c>
    </row>
    <row r="1634" spans="22:22" x14ac:dyDescent="0.25">
      <c r="V1634" s="6" t="str">
        <f t="shared" si="27"/>
        <v/>
      </c>
    </row>
    <row r="1635" spans="22:22" x14ac:dyDescent="0.25">
      <c r="V1635" s="6" t="str">
        <f t="shared" si="27"/>
        <v/>
      </c>
    </row>
    <row r="1636" spans="22:22" x14ac:dyDescent="0.25">
      <c r="V1636" s="6" t="str">
        <f t="shared" si="27"/>
        <v/>
      </c>
    </row>
    <row r="1637" spans="22:22" x14ac:dyDescent="0.25">
      <c r="V1637" s="6" t="str">
        <f t="shared" si="27"/>
        <v/>
      </c>
    </row>
    <row r="1638" spans="22:22" x14ac:dyDescent="0.25">
      <c r="V1638" s="6" t="str">
        <f t="shared" si="27"/>
        <v/>
      </c>
    </row>
    <row r="1639" spans="22:22" x14ac:dyDescent="0.25">
      <c r="V1639" s="6" t="str">
        <f t="shared" si="27"/>
        <v/>
      </c>
    </row>
    <row r="1640" spans="22:22" x14ac:dyDescent="0.25">
      <c r="V1640" s="6" t="str">
        <f t="shared" si="27"/>
        <v/>
      </c>
    </row>
    <row r="1641" spans="22:22" x14ac:dyDescent="0.25">
      <c r="V1641" s="6" t="str">
        <f t="shared" si="27"/>
        <v/>
      </c>
    </row>
    <row r="1642" spans="22:22" x14ac:dyDescent="0.25">
      <c r="V1642" s="6" t="str">
        <f t="shared" si="27"/>
        <v/>
      </c>
    </row>
    <row r="1643" spans="22:22" x14ac:dyDescent="0.25">
      <c r="V1643" s="6" t="str">
        <f t="shared" si="27"/>
        <v/>
      </c>
    </row>
    <row r="1644" spans="22:22" x14ac:dyDescent="0.25">
      <c r="V1644" s="6" t="str">
        <f t="shared" si="27"/>
        <v/>
      </c>
    </row>
    <row r="1645" spans="22:22" x14ac:dyDescent="0.25">
      <c r="V1645" s="6" t="str">
        <f t="shared" si="27"/>
        <v/>
      </c>
    </row>
    <row r="1646" spans="22:22" x14ac:dyDescent="0.25">
      <c r="V1646" s="6" t="str">
        <f t="shared" si="27"/>
        <v/>
      </c>
    </row>
    <row r="1647" spans="22:22" x14ac:dyDescent="0.25">
      <c r="V1647" s="6" t="str">
        <f t="shared" si="27"/>
        <v/>
      </c>
    </row>
    <row r="1648" spans="22:22" x14ac:dyDescent="0.25">
      <c r="V1648" s="6" t="str">
        <f t="shared" ref="V1648:V1711" si="28">IFERROR(DATEVALUE(D1648),"")</f>
        <v/>
      </c>
    </row>
    <row r="1649" spans="22:22" x14ac:dyDescent="0.25">
      <c r="V1649" s="6" t="str">
        <f t="shared" si="28"/>
        <v/>
      </c>
    </row>
    <row r="1650" spans="22:22" x14ac:dyDescent="0.25">
      <c r="V1650" s="6" t="str">
        <f t="shared" si="28"/>
        <v/>
      </c>
    </row>
    <row r="1651" spans="22:22" x14ac:dyDescent="0.25">
      <c r="V1651" s="6" t="str">
        <f t="shared" si="28"/>
        <v/>
      </c>
    </row>
    <row r="1652" spans="22:22" x14ac:dyDescent="0.25">
      <c r="V1652" s="6" t="str">
        <f t="shared" si="28"/>
        <v/>
      </c>
    </row>
    <row r="1653" spans="22:22" x14ac:dyDescent="0.25">
      <c r="V1653" s="6" t="str">
        <f t="shared" si="28"/>
        <v/>
      </c>
    </row>
    <row r="1654" spans="22:22" x14ac:dyDescent="0.25">
      <c r="V1654" s="6" t="str">
        <f t="shared" si="28"/>
        <v/>
      </c>
    </row>
    <row r="1655" spans="22:22" x14ac:dyDescent="0.25">
      <c r="V1655" s="6" t="str">
        <f t="shared" si="28"/>
        <v/>
      </c>
    </row>
    <row r="1656" spans="22:22" x14ac:dyDescent="0.25">
      <c r="V1656" s="6" t="str">
        <f t="shared" si="28"/>
        <v/>
      </c>
    </row>
    <row r="1657" spans="22:22" x14ac:dyDescent="0.25">
      <c r="V1657" s="6" t="str">
        <f t="shared" si="28"/>
        <v/>
      </c>
    </row>
    <row r="1658" spans="22:22" x14ac:dyDescent="0.25">
      <c r="V1658" s="6" t="str">
        <f t="shared" si="28"/>
        <v/>
      </c>
    </row>
    <row r="1659" spans="22:22" x14ac:dyDescent="0.25">
      <c r="V1659" s="6" t="str">
        <f t="shared" si="28"/>
        <v/>
      </c>
    </row>
    <row r="1660" spans="22:22" x14ac:dyDescent="0.25">
      <c r="V1660" s="6" t="str">
        <f t="shared" si="28"/>
        <v/>
      </c>
    </row>
    <row r="1661" spans="22:22" x14ac:dyDescent="0.25">
      <c r="V1661" s="6" t="str">
        <f t="shared" si="28"/>
        <v/>
      </c>
    </row>
    <row r="1662" spans="22:22" x14ac:dyDescent="0.25">
      <c r="V1662" s="6" t="str">
        <f t="shared" si="28"/>
        <v/>
      </c>
    </row>
    <row r="1663" spans="22:22" x14ac:dyDescent="0.25">
      <c r="V1663" s="6" t="str">
        <f t="shared" si="28"/>
        <v/>
      </c>
    </row>
    <row r="1664" spans="22:22" x14ac:dyDescent="0.25">
      <c r="V1664" s="6" t="str">
        <f t="shared" si="28"/>
        <v/>
      </c>
    </row>
    <row r="1665" spans="22:22" x14ac:dyDescent="0.25">
      <c r="V1665" s="6" t="str">
        <f t="shared" si="28"/>
        <v/>
      </c>
    </row>
    <row r="1666" spans="22:22" x14ac:dyDescent="0.25">
      <c r="V1666" s="6" t="str">
        <f t="shared" si="28"/>
        <v/>
      </c>
    </row>
    <row r="1667" spans="22:22" x14ac:dyDescent="0.25">
      <c r="V1667" s="6" t="str">
        <f t="shared" si="28"/>
        <v/>
      </c>
    </row>
    <row r="1668" spans="22:22" x14ac:dyDescent="0.25">
      <c r="V1668" s="6" t="str">
        <f t="shared" si="28"/>
        <v/>
      </c>
    </row>
    <row r="1669" spans="22:22" x14ac:dyDescent="0.25">
      <c r="V1669" s="6" t="str">
        <f t="shared" si="28"/>
        <v/>
      </c>
    </row>
    <row r="1670" spans="22:22" x14ac:dyDescent="0.25">
      <c r="V1670" s="6" t="str">
        <f t="shared" si="28"/>
        <v/>
      </c>
    </row>
    <row r="1671" spans="22:22" x14ac:dyDescent="0.25">
      <c r="V1671" s="6" t="str">
        <f t="shared" si="28"/>
        <v/>
      </c>
    </row>
    <row r="1672" spans="22:22" x14ac:dyDescent="0.25">
      <c r="V1672" s="6" t="str">
        <f t="shared" si="28"/>
        <v/>
      </c>
    </row>
    <row r="1673" spans="22:22" x14ac:dyDescent="0.25">
      <c r="V1673" s="6" t="str">
        <f t="shared" si="28"/>
        <v/>
      </c>
    </row>
    <row r="1674" spans="22:22" x14ac:dyDescent="0.25">
      <c r="V1674" s="6" t="str">
        <f t="shared" si="28"/>
        <v/>
      </c>
    </row>
    <row r="1675" spans="22:22" x14ac:dyDescent="0.25">
      <c r="V1675" s="6" t="str">
        <f t="shared" si="28"/>
        <v/>
      </c>
    </row>
    <row r="1676" spans="22:22" x14ac:dyDescent="0.25">
      <c r="V1676" s="6" t="str">
        <f t="shared" si="28"/>
        <v/>
      </c>
    </row>
    <row r="1677" spans="22:22" x14ac:dyDescent="0.25">
      <c r="V1677" s="6" t="str">
        <f t="shared" si="28"/>
        <v/>
      </c>
    </row>
    <row r="1678" spans="22:22" x14ac:dyDescent="0.25">
      <c r="V1678" s="6" t="str">
        <f t="shared" si="28"/>
        <v/>
      </c>
    </row>
    <row r="1679" spans="22:22" x14ac:dyDescent="0.25">
      <c r="V1679" s="6" t="str">
        <f t="shared" si="28"/>
        <v/>
      </c>
    </row>
    <row r="1680" spans="22:22" x14ac:dyDescent="0.25">
      <c r="V1680" s="6" t="str">
        <f t="shared" si="28"/>
        <v/>
      </c>
    </row>
    <row r="1681" spans="22:22" x14ac:dyDescent="0.25">
      <c r="V1681" s="6" t="str">
        <f t="shared" si="28"/>
        <v/>
      </c>
    </row>
    <row r="1682" spans="22:22" x14ac:dyDescent="0.25">
      <c r="V1682" s="6" t="str">
        <f t="shared" si="28"/>
        <v/>
      </c>
    </row>
    <row r="1683" spans="22:22" x14ac:dyDescent="0.25">
      <c r="V1683" s="6" t="str">
        <f t="shared" si="28"/>
        <v/>
      </c>
    </row>
    <row r="1684" spans="22:22" x14ac:dyDescent="0.25">
      <c r="V1684" s="6" t="str">
        <f t="shared" si="28"/>
        <v/>
      </c>
    </row>
    <row r="1685" spans="22:22" x14ac:dyDescent="0.25">
      <c r="V1685" s="6" t="str">
        <f t="shared" si="28"/>
        <v/>
      </c>
    </row>
    <row r="1686" spans="22:22" x14ac:dyDescent="0.25">
      <c r="V1686" s="6" t="str">
        <f t="shared" si="28"/>
        <v/>
      </c>
    </row>
    <row r="1687" spans="22:22" x14ac:dyDescent="0.25">
      <c r="V1687" s="6" t="str">
        <f t="shared" si="28"/>
        <v/>
      </c>
    </row>
    <row r="1688" spans="22:22" x14ac:dyDescent="0.25">
      <c r="V1688" s="6" t="str">
        <f t="shared" si="28"/>
        <v/>
      </c>
    </row>
    <row r="1689" spans="22:22" x14ac:dyDescent="0.25">
      <c r="V1689" s="6" t="str">
        <f t="shared" si="28"/>
        <v/>
      </c>
    </row>
    <row r="1690" spans="22:22" x14ac:dyDescent="0.25">
      <c r="V1690" s="6" t="str">
        <f t="shared" si="28"/>
        <v/>
      </c>
    </row>
    <row r="1691" spans="22:22" x14ac:dyDescent="0.25">
      <c r="V1691" s="6" t="str">
        <f t="shared" si="28"/>
        <v/>
      </c>
    </row>
    <row r="1692" spans="22:22" x14ac:dyDescent="0.25">
      <c r="V1692" s="6" t="str">
        <f t="shared" si="28"/>
        <v/>
      </c>
    </row>
    <row r="1693" spans="22:22" x14ac:dyDescent="0.25">
      <c r="V1693" s="6" t="str">
        <f t="shared" si="28"/>
        <v/>
      </c>
    </row>
    <row r="1694" spans="22:22" x14ac:dyDescent="0.25">
      <c r="V1694" s="6" t="str">
        <f t="shared" si="28"/>
        <v/>
      </c>
    </row>
    <row r="1695" spans="22:22" x14ac:dyDescent="0.25">
      <c r="V1695" s="6" t="str">
        <f t="shared" si="28"/>
        <v/>
      </c>
    </row>
    <row r="1696" spans="22:22" x14ac:dyDescent="0.25">
      <c r="V1696" s="6" t="str">
        <f t="shared" si="28"/>
        <v/>
      </c>
    </row>
    <row r="1697" spans="22:22" x14ac:dyDescent="0.25">
      <c r="V1697" s="6" t="str">
        <f t="shared" si="28"/>
        <v/>
      </c>
    </row>
    <row r="1698" spans="22:22" x14ac:dyDescent="0.25">
      <c r="V1698" s="6" t="str">
        <f t="shared" si="28"/>
        <v/>
      </c>
    </row>
    <row r="1699" spans="22:22" x14ac:dyDescent="0.25">
      <c r="V1699" s="6" t="str">
        <f t="shared" si="28"/>
        <v/>
      </c>
    </row>
    <row r="1700" spans="22:22" x14ac:dyDescent="0.25">
      <c r="V1700" s="6" t="str">
        <f t="shared" si="28"/>
        <v/>
      </c>
    </row>
    <row r="1701" spans="22:22" x14ac:dyDescent="0.25">
      <c r="V1701" s="6" t="str">
        <f t="shared" si="28"/>
        <v/>
      </c>
    </row>
    <row r="1702" spans="22:22" x14ac:dyDescent="0.25">
      <c r="V1702" s="6" t="str">
        <f t="shared" si="28"/>
        <v/>
      </c>
    </row>
    <row r="1703" spans="22:22" x14ac:dyDescent="0.25">
      <c r="V1703" s="6" t="str">
        <f t="shared" si="28"/>
        <v/>
      </c>
    </row>
    <row r="1704" spans="22:22" x14ac:dyDescent="0.25">
      <c r="V1704" s="6" t="str">
        <f t="shared" si="28"/>
        <v/>
      </c>
    </row>
    <row r="1705" spans="22:22" x14ac:dyDescent="0.25">
      <c r="V1705" s="6" t="str">
        <f t="shared" si="28"/>
        <v/>
      </c>
    </row>
    <row r="1706" spans="22:22" x14ac:dyDescent="0.25">
      <c r="V1706" s="6" t="str">
        <f t="shared" si="28"/>
        <v/>
      </c>
    </row>
    <row r="1707" spans="22:22" x14ac:dyDescent="0.25">
      <c r="V1707" s="6" t="str">
        <f t="shared" si="28"/>
        <v/>
      </c>
    </row>
    <row r="1708" spans="22:22" x14ac:dyDescent="0.25">
      <c r="V1708" s="6" t="str">
        <f t="shared" si="28"/>
        <v/>
      </c>
    </row>
    <row r="1709" spans="22:22" x14ac:dyDescent="0.25">
      <c r="V1709" s="6" t="str">
        <f t="shared" si="28"/>
        <v/>
      </c>
    </row>
    <row r="1710" spans="22:22" x14ac:dyDescent="0.25">
      <c r="V1710" s="6" t="str">
        <f t="shared" si="28"/>
        <v/>
      </c>
    </row>
    <row r="1711" spans="22:22" x14ac:dyDescent="0.25">
      <c r="V1711" s="6" t="str">
        <f t="shared" si="28"/>
        <v/>
      </c>
    </row>
    <row r="1712" spans="22:22" x14ac:dyDescent="0.25">
      <c r="V1712" s="6" t="str">
        <f t="shared" ref="V1712:V1775" si="29">IFERROR(DATEVALUE(D1712),"")</f>
        <v/>
      </c>
    </row>
    <row r="1713" spans="22:22" x14ac:dyDescent="0.25">
      <c r="V1713" s="6" t="str">
        <f t="shared" si="29"/>
        <v/>
      </c>
    </row>
    <row r="1714" spans="22:22" x14ac:dyDescent="0.25">
      <c r="V1714" s="6" t="str">
        <f t="shared" si="29"/>
        <v/>
      </c>
    </row>
    <row r="1715" spans="22:22" x14ac:dyDescent="0.25">
      <c r="V1715" s="6" t="str">
        <f t="shared" si="29"/>
        <v/>
      </c>
    </row>
    <row r="1716" spans="22:22" x14ac:dyDescent="0.25">
      <c r="V1716" s="6" t="str">
        <f t="shared" si="29"/>
        <v/>
      </c>
    </row>
    <row r="1717" spans="22:22" x14ac:dyDescent="0.25">
      <c r="V1717" s="6" t="str">
        <f t="shared" si="29"/>
        <v/>
      </c>
    </row>
    <row r="1718" spans="22:22" x14ac:dyDescent="0.25">
      <c r="V1718" s="6" t="str">
        <f t="shared" si="29"/>
        <v/>
      </c>
    </row>
    <row r="1719" spans="22:22" x14ac:dyDescent="0.25">
      <c r="V1719" s="6" t="str">
        <f t="shared" si="29"/>
        <v/>
      </c>
    </row>
    <row r="1720" spans="22:22" x14ac:dyDescent="0.25">
      <c r="V1720" s="6" t="str">
        <f t="shared" si="29"/>
        <v/>
      </c>
    </row>
    <row r="1721" spans="22:22" x14ac:dyDescent="0.25">
      <c r="V1721" s="6" t="str">
        <f t="shared" si="29"/>
        <v/>
      </c>
    </row>
    <row r="1722" spans="22:22" x14ac:dyDescent="0.25">
      <c r="V1722" s="6" t="str">
        <f t="shared" si="29"/>
        <v/>
      </c>
    </row>
    <row r="1723" spans="22:22" x14ac:dyDescent="0.25">
      <c r="V1723" s="6" t="str">
        <f t="shared" si="29"/>
        <v/>
      </c>
    </row>
    <row r="1724" spans="22:22" x14ac:dyDescent="0.25">
      <c r="V1724" s="6" t="str">
        <f t="shared" si="29"/>
        <v/>
      </c>
    </row>
    <row r="1725" spans="22:22" x14ac:dyDescent="0.25">
      <c r="V1725" s="6" t="str">
        <f t="shared" si="29"/>
        <v/>
      </c>
    </row>
    <row r="1726" spans="22:22" x14ac:dyDescent="0.25">
      <c r="V1726" s="6" t="str">
        <f t="shared" si="29"/>
        <v/>
      </c>
    </row>
    <row r="1727" spans="22:22" x14ac:dyDescent="0.25">
      <c r="V1727" s="6" t="str">
        <f t="shared" si="29"/>
        <v/>
      </c>
    </row>
    <row r="1728" spans="22:22" x14ac:dyDescent="0.25">
      <c r="V1728" s="6" t="str">
        <f t="shared" si="29"/>
        <v/>
      </c>
    </row>
    <row r="1729" spans="22:22" x14ac:dyDescent="0.25">
      <c r="V1729" s="6" t="str">
        <f t="shared" si="29"/>
        <v/>
      </c>
    </row>
    <row r="1730" spans="22:22" x14ac:dyDescent="0.25">
      <c r="V1730" s="6" t="str">
        <f t="shared" si="29"/>
        <v/>
      </c>
    </row>
    <row r="1731" spans="22:22" x14ac:dyDescent="0.25">
      <c r="V1731" s="6" t="str">
        <f t="shared" si="29"/>
        <v/>
      </c>
    </row>
    <row r="1732" spans="22:22" x14ac:dyDescent="0.25">
      <c r="V1732" s="6" t="str">
        <f t="shared" si="29"/>
        <v/>
      </c>
    </row>
    <row r="1733" spans="22:22" x14ac:dyDescent="0.25">
      <c r="V1733" s="6" t="str">
        <f t="shared" si="29"/>
        <v/>
      </c>
    </row>
    <row r="1734" spans="22:22" x14ac:dyDescent="0.25">
      <c r="V1734" s="6" t="str">
        <f t="shared" si="29"/>
        <v/>
      </c>
    </row>
    <row r="1735" spans="22:22" x14ac:dyDescent="0.25">
      <c r="V1735" s="6" t="str">
        <f t="shared" si="29"/>
        <v/>
      </c>
    </row>
    <row r="1736" spans="22:22" x14ac:dyDescent="0.25">
      <c r="V1736" s="6" t="str">
        <f t="shared" si="29"/>
        <v/>
      </c>
    </row>
    <row r="1737" spans="22:22" x14ac:dyDescent="0.25">
      <c r="V1737" s="6" t="str">
        <f t="shared" si="29"/>
        <v/>
      </c>
    </row>
    <row r="1738" spans="22:22" x14ac:dyDescent="0.25">
      <c r="V1738" s="6" t="str">
        <f t="shared" si="29"/>
        <v/>
      </c>
    </row>
    <row r="1739" spans="22:22" x14ac:dyDescent="0.25">
      <c r="V1739" s="6" t="str">
        <f t="shared" si="29"/>
        <v/>
      </c>
    </row>
    <row r="1740" spans="22:22" x14ac:dyDescent="0.25">
      <c r="V1740" s="6" t="str">
        <f t="shared" si="29"/>
        <v/>
      </c>
    </row>
    <row r="1741" spans="22:22" x14ac:dyDescent="0.25">
      <c r="V1741" s="6" t="str">
        <f t="shared" si="29"/>
        <v/>
      </c>
    </row>
    <row r="1742" spans="22:22" x14ac:dyDescent="0.25">
      <c r="V1742" s="6" t="str">
        <f t="shared" si="29"/>
        <v/>
      </c>
    </row>
    <row r="1743" spans="22:22" x14ac:dyDescent="0.25">
      <c r="V1743" s="6" t="str">
        <f t="shared" si="29"/>
        <v/>
      </c>
    </row>
    <row r="1744" spans="22:22" x14ac:dyDescent="0.25">
      <c r="V1744" s="6" t="str">
        <f t="shared" si="29"/>
        <v/>
      </c>
    </row>
    <row r="1745" spans="22:22" x14ac:dyDescent="0.25">
      <c r="V1745" s="6" t="str">
        <f t="shared" si="29"/>
        <v/>
      </c>
    </row>
    <row r="1746" spans="22:22" x14ac:dyDescent="0.25">
      <c r="V1746" s="6" t="str">
        <f t="shared" si="29"/>
        <v/>
      </c>
    </row>
    <row r="1747" spans="22:22" x14ac:dyDescent="0.25">
      <c r="V1747" s="6" t="str">
        <f t="shared" si="29"/>
        <v/>
      </c>
    </row>
    <row r="1748" spans="22:22" x14ac:dyDescent="0.25">
      <c r="V1748" s="6" t="str">
        <f t="shared" si="29"/>
        <v/>
      </c>
    </row>
    <row r="1749" spans="22:22" x14ac:dyDescent="0.25">
      <c r="V1749" s="6" t="str">
        <f t="shared" si="29"/>
        <v/>
      </c>
    </row>
    <row r="1750" spans="22:22" x14ac:dyDescent="0.25">
      <c r="V1750" s="6" t="str">
        <f t="shared" si="29"/>
        <v/>
      </c>
    </row>
    <row r="1751" spans="22:22" x14ac:dyDescent="0.25">
      <c r="V1751" s="6" t="str">
        <f t="shared" si="29"/>
        <v/>
      </c>
    </row>
    <row r="1752" spans="22:22" x14ac:dyDescent="0.25">
      <c r="V1752" s="6" t="str">
        <f t="shared" si="29"/>
        <v/>
      </c>
    </row>
    <row r="1753" spans="22:22" x14ac:dyDescent="0.25">
      <c r="V1753" s="6" t="str">
        <f t="shared" si="29"/>
        <v/>
      </c>
    </row>
    <row r="1754" spans="22:22" x14ac:dyDescent="0.25">
      <c r="V1754" s="6" t="str">
        <f t="shared" si="29"/>
        <v/>
      </c>
    </row>
    <row r="1755" spans="22:22" x14ac:dyDescent="0.25">
      <c r="V1755" s="6" t="str">
        <f t="shared" si="29"/>
        <v/>
      </c>
    </row>
    <row r="1756" spans="22:22" x14ac:dyDescent="0.25">
      <c r="V1756" s="6" t="str">
        <f t="shared" si="29"/>
        <v/>
      </c>
    </row>
    <row r="1757" spans="22:22" x14ac:dyDescent="0.25">
      <c r="V1757" s="6" t="str">
        <f t="shared" si="29"/>
        <v/>
      </c>
    </row>
    <row r="1758" spans="22:22" x14ac:dyDescent="0.25">
      <c r="V1758" s="6" t="str">
        <f t="shared" si="29"/>
        <v/>
      </c>
    </row>
    <row r="1759" spans="22:22" x14ac:dyDescent="0.25">
      <c r="V1759" s="6" t="str">
        <f t="shared" si="29"/>
        <v/>
      </c>
    </row>
    <row r="1760" spans="22:22" x14ac:dyDescent="0.25">
      <c r="V1760" s="6" t="str">
        <f t="shared" si="29"/>
        <v/>
      </c>
    </row>
    <row r="1761" spans="22:22" x14ac:dyDescent="0.25">
      <c r="V1761" s="6" t="str">
        <f t="shared" si="29"/>
        <v/>
      </c>
    </row>
    <row r="1762" spans="22:22" x14ac:dyDescent="0.25">
      <c r="V1762" s="6" t="str">
        <f t="shared" si="29"/>
        <v/>
      </c>
    </row>
    <row r="1763" spans="22:22" x14ac:dyDescent="0.25">
      <c r="V1763" s="6" t="str">
        <f t="shared" si="29"/>
        <v/>
      </c>
    </row>
    <row r="1764" spans="22:22" x14ac:dyDescent="0.25">
      <c r="V1764" s="6" t="str">
        <f t="shared" si="29"/>
        <v/>
      </c>
    </row>
    <row r="1765" spans="22:22" x14ac:dyDescent="0.25">
      <c r="V1765" s="6" t="str">
        <f t="shared" si="29"/>
        <v/>
      </c>
    </row>
    <row r="1766" spans="22:22" x14ac:dyDescent="0.25">
      <c r="V1766" s="6" t="str">
        <f t="shared" si="29"/>
        <v/>
      </c>
    </row>
    <row r="1767" spans="22:22" x14ac:dyDescent="0.25">
      <c r="V1767" s="6" t="str">
        <f t="shared" si="29"/>
        <v/>
      </c>
    </row>
    <row r="1768" spans="22:22" x14ac:dyDescent="0.25">
      <c r="V1768" s="6" t="str">
        <f t="shared" si="29"/>
        <v/>
      </c>
    </row>
    <row r="1769" spans="22:22" x14ac:dyDescent="0.25">
      <c r="V1769" s="6" t="str">
        <f t="shared" si="29"/>
        <v/>
      </c>
    </row>
    <row r="1770" spans="22:22" x14ac:dyDescent="0.25">
      <c r="V1770" s="6" t="str">
        <f t="shared" si="29"/>
        <v/>
      </c>
    </row>
    <row r="1771" spans="22:22" x14ac:dyDescent="0.25">
      <c r="V1771" s="6" t="str">
        <f t="shared" si="29"/>
        <v/>
      </c>
    </row>
    <row r="1772" spans="22:22" x14ac:dyDescent="0.25">
      <c r="V1772" s="6" t="str">
        <f t="shared" si="29"/>
        <v/>
      </c>
    </row>
    <row r="1773" spans="22:22" x14ac:dyDescent="0.25">
      <c r="V1773" s="6" t="str">
        <f t="shared" si="29"/>
        <v/>
      </c>
    </row>
    <row r="1774" spans="22:22" x14ac:dyDescent="0.25">
      <c r="V1774" s="6" t="str">
        <f t="shared" si="29"/>
        <v/>
      </c>
    </row>
    <row r="1775" spans="22:22" x14ac:dyDescent="0.25">
      <c r="V1775" s="6" t="str">
        <f t="shared" si="29"/>
        <v/>
      </c>
    </row>
    <row r="1776" spans="22:22" x14ac:dyDescent="0.25">
      <c r="V1776" s="6" t="str">
        <f t="shared" ref="V1776:V1839" si="30">IFERROR(DATEVALUE(D1776),"")</f>
        <v/>
      </c>
    </row>
    <row r="1777" spans="22:22" x14ac:dyDescent="0.25">
      <c r="V1777" s="6" t="str">
        <f t="shared" si="30"/>
        <v/>
      </c>
    </row>
    <row r="1778" spans="22:22" x14ac:dyDescent="0.25">
      <c r="V1778" s="6" t="str">
        <f t="shared" si="30"/>
        <v/>
      </c>
    </row>
    <row r="1779" spans="22:22" x14ac:dyDescent="0.25">
      <c r="V1779" s="6" t="str">
        <f t="shared" si="30"/>
        <v/>
      </c>
    </row>
    <row r="1780" spans="22:22" x14ac:dyDescent="0.25">
      <c r="V1780" s="6" t="str">
        <f t="shared" si="30"/>
        <v/>
      </c>
    </row>
    <row r="1781" spans="22:22" x14ac:dyDescent="0.25">
      <c r="V1781" s="6" t="str">
        <f t="shared" si="30"/>
        <v/>
      </c>
    </row>
    <row r="1782" spans="22:22" x14ac:dyDescent="0.25">
      <c r="V1782" s="6" t="str">
        <f t="shared" si="30"/>
        <v/>
      </c>
    </row>
    <row r="1783" spans="22:22" x14ac:dyDescent="0.25">
      <c r="V1783" s="6" t="str">
        <f t="shared" si="30"/>
        <v/>
      </c>
    </row>
    <row r="1784" spans="22:22" x14ac:dyDescent="0.25">
      <c r="V1784" s="6" t="str">
        <f t="shared" si="30"/>
        <v/>
      </c>
    </row>
    <row r="1785" spans="22:22" x14ac:dyDescent="0.25">
      <c r="V1785" s="6" t="str">
        <f t="shared" si="30"/>
        <v/>
      </c>
    </row>
    <row r="1786" spans="22:22" x14ac:dyDescent="0.25">
      <c r="V1786" s="6" t="str">
        <f t="shared" si="30"/>
        <v/>
      </c>
    </row>
    <row r="1787" spans="22:22" x14ac:dyDescent="0.25">
      <c r="V1787" s="6" t="str">
        <f t="shared" si="30"/>
        <v/>
      </c>
    </row>
    <row r="1788" spans="22:22" x14ac:dyDescent="0.25">
      <c r="V1788" s="6" t="str">
        <f t="shared" si="30"/>
        <v/>
      </c>
    </row>
    <row r="1789" spans="22:22" x14ac:dyDescent="0.25">
      <c r="V1789" s="6" t="str">
        <f t="shared" si="30"/>
        <v/>
      </c>
    </row>
    <row r="1790" spans="22:22" x14ac:dyDescent="0.25">
      <c r="V1790" s="6" t="str">
        <f t="shared" si="30"/>
        <v/>
      </c>
    </row>
    <row r="1791" spans="22:22" x14ac:dyDescent="0.25">
      <c r="V1791" s="6" t="str">
        <f t="shared" si="30"/>
        <v/>
      </c>
    </row>
    <row r="1792" spans="22:22" x14ac:dyDescent="0.25">
      <c r="V1792" s="6" t="str">
        <f t="shared" si="30"/>
        <v/>
      </c>
    </row>
    <row r="1793" spans="22:22" x14ac:dyDescent="0.25">
      <c r="V1793" s="6" t="str">
        <f t="shared" si="30"/>
        <v/>
      </c>
    </row>
    <row r="1794" spans="22:22" x14ac:dyDescent="0.25">
      <c r="V1794" s="6" t="str">
        <f t="shared" si="30"/>
        <v/>
      </c>
    </row>
    <row r="1795" spans="22:22" x14ac:dyDescent="0.25">
      <c r="V1795" s="6" t="str">
        <f t="shared" si="30"/>
        <v/>
      </c>
    </row>
    <row r="1796" spans="22:22" x14ac:dyDescent="0.25">
      <c r="V1796" s="6" t="str">
        <f t="shared" si="30"/>
        <v/>
      </c>
    </row>
    <row r="1797" spans="22:22" x14ac:dyDescent="0.25">
      <c r="V1797" s="6" t="str">
        <f t="shared" si="30"/>
        <v/>
      </c>
    </row>
    <row r="1798" spans="22:22" x14ac:dyDescent="0.25">
      <c r="V1798" s="6" t="str">
        <f t="shared" si="30"/>
        <v/>
      </c>
    </row>
    <row r="1799" spans="22:22" x14ac:dyDescent="0.25">
      <c r="V1799" s="6" t="str">
        <f t="shared" si="30"/>
        <v/>
      </c>
    </row>
    <row r="1800" spans="22:22" x14ac:dyDescent="0.25">
      <c r="V1800" s="6" t="str">
        <f t="shared" si="30"/>
        <v/>
      </c>
    </row>
    <row r="1801" spans="22:22" x14ac:dyDescent="0.25">
      <c r="V1801" s="6" t="str">
        <f t="shared" si="30"/>
        <v/>
      </c>
    </row>
    <row r="1802" spans="22:22" x14ac:dyDescent="0.25">
      <c r="V1802" s="6" t="str">
        <f t="shared" si="30"/>
        <v/>
      </c>
    </row>
    <row r="1803" spans="22:22" x14ac:dyDescent="0.25">
      <c r="V1803" s="6" t="str">
        <f t="shared" si="30"/>
        <v/>
      </c>
    </row>
    <row r="1804" spans="22:22" x14ac:dyDescent="0.25">
      <c r="V1804" s="6" t="str">
        <f t="shared" si="30"/>
        <v/>
      </c>
    </row>
    <row r="1805" spans="22:22" x14ac:dyDescent="0.25">
      <c r="V1805" s="6" t="str">
        <f t="shared" si="30"/>
        <v/>
      </c>
    </row>
    <row r="1806" spans="22:22" x14ac:dyDescent="0.25">
      <c r="V1806" s="6" t="str">
        <f t="shared" si="30"/>
        <v/>
      </c>
    </row>
    <row r="1807" spans="22:22" x14ac:dyDescent="0.25">
      <c r="V1807" s="6" t="str">
        <f t="shared" si="30"/>
        <v/>
      </c>
    </row>
    <row r="1808" spans="22:22" x14ac:dyDescent="0.25">
      <c r="V1808" s="6" t="str">
        <f t="shared" si="30"/>
        <v/>
      </c>
    </row>
    <row r="1809" spans="22:22" x14ac:dyDescent="0.25">
      <c r="V1809" s="6" t="str">
        <f t="shared" si="30"/>
        <v/>
      </c>
    </row>
    <row r="1810" spans="22:22" x14ac:dyDescent="0.25">
      <c r="V1810" s="6" t="str">
        <f t="shared" si="30"/>
        <v/>
      </c>
    </row>
    <row r="1811" spans="22:22" x14ac:dyDescent="0.25">
      <c r="V1811" s="6" t="str">
        <f t="shared" si="30"/>
        <v/>
      </c>
    </row>
    <row r="1812" spans="22:22" x14ac:dyDescent="0.25">
      <c r="V1812" s="6" t="str">
        <f t="shared" si="30"/>
        <v/>
      </c>
    </row>
    <row r="1813" spans="22:22" x14ac:dyDescent="0.25">
      <c r="V1813" s="6" t="str">
        <f t="shared" si="30"/>
        <v/>
      </c>
    </row>
    <row r="1814" spans="22:22" x14ac:dyDescent="0.25">
      <c r="V1814" s="6" t="str">
        <f t="shared" si="30"/>
        <v/>
      </c>
    </row>
    <row r="1815" spans="22:22" x14ac:dyDescent="0.25">
      <c r="V1815" s="6" t="str">
        <f t="shared" si="30"/>
        <v/>
      </c>
    </row>
    <row r="1816" spans="22:22" x14ac:dyDescent="0.25">
      <c r="V1816" s="6" t="str">
        <f t="shared" si="30"/>
        <v/>
      </c>
    </row>
    <row r="1817" spans="22:22" x14ac:dyDescent="0.25">
      <c r="V1817" s="6" t="str">
        <f t="shared" si="30"/>
        <v/>
      </c>
    </row>
    <row r="1818" spans="22:22" x14ac:dyDescent="0.25">
      <c r="V1818" s="6" t="str">
        <f t="shared" si="30"/>
        <v/>
      </c>
    </row>
    <row r="1819" spans="22:22" x14ac:dyDescent="0.25">
      <c r="V1819" s="6" t="str">
        <f t="shared" si="30"/>
        <v/>
      </c>
    </row>
    <row r="1820" spans="22:22" x14ac:dyDescent="0.25">
      <c r="V1820" s="6" t="str">
        <f t="shared" si="30"/>
        <v/>
      </c>
    </row>
    <row r="1821" spans="22:22" x14ac:dyDescent="0.25">
      <c r="V1821" s="6" t="str">
        <f t="shared" si="30"/>
        <v/>
      </c>
    </row>
    <row r="1822" spans="22:22" x14ac:dyDescent="0.25">
      <c r="V1822" s="6" t="str">
        <f t="shared" si="30"/>
        <v/>
      </c>
    </row>
    <row r="1823" spans="22:22" x14ac:dyDescent="0.25">
      <c r="V1823" s="6" t="str">
        <f t="shared" si="30"/>
        <v/>
      </c>
    </row>
    <row r="1824" spans="22:22" x14ac:dyDescent="0.25">
      <c r="V1824" s="6" t="str">
        <f t="shared" si="30"/>
        <v/>
      </c>
    </row>
    <row r="1825" spans="22:22" x14ac:dyDescent="0.25">
      <c r="V1825" s="6" t="str">
        <f t="shared" si="30"/>
        <v/>
      </c>
    </row>
    <row r="1826" spans="22:22" x14ac:dyDescent="0.25">
      <c r="V1826" s="6" t="str">
        <f t="shared" si="30"/>
        <v/>
      </c>
    </row>
    <row r="1827" spans="22:22" x14ac:dyDescent="0.25">
      <c r="V1827" s="6" t="str">
        <f t="shared" si="30"/>
        <v/>
      </c>
    </row>
    <row r="1828" spans="22:22" x14ac:dyDescent="0.25">
      <c r="V1828" s="6" t="str">
        <f t="shared" si="30"/>
        <v/>
      </c>
    </row>
    <row r="1829" spans="22:22" x14ac:dyDescent="0.25">
      <c r="V1829" s="6" t="str">
        <f t="shared" si="30"/>
        <v/>
      </c>
    </row>
    <row r="1830" spans="22:22" x14ac:dyDescent="0.25">
      <c r="V1830" s="6" t="str">
        <f t="shared" si="30"/>
        <v/>
      </c>
    </row>
    <row r="1831" spans="22:22" x14ac:dyDescent="0.25">
      <c r="V1831" s="6" t="str">
        <f t="shared" si="30"/>
        <v/>
      </c>
    </row>
    <row r="1832" spans="22:22" x14ac:dyDescent="0.25">
      <c r="V1832" s="6" t="str">
        <f t="shared" si="30"/>
        <v/>
      </c>
    </row>
    <row r="1833" spans="22:22" x14ac:dyDescent="0.25">
      <c r="V1833" s="6" t="str">
        <f t="shared" si="30"/>
        <v/>
      </c>
    </row>
    <row r="1834" spans="22:22" x14ac:dyDescent="0.25">
      <c r="V1834" s="6" t="str">
        <f t="shared" si="30"/>
        <v/>
      </c>
    </row>
    <row r="1835" spans="22:22" x14ac:dyDescent="0.25">
      <c r="V1835" s="6" t="str">
        <f t="shared" si="30"/>
        <v/>
      </c>
    </row>
    <row r="1836" spans="22:22" x14ac:dyDescent="0.25">
      <c r="V1836" s="6" t="str">
        <f t="shared" si="30"/>
        <v/>
      </c>
    </row>
    <row r="1837" spans="22:22" x14ac:dyDescent="0.25">
      <c r="V1837" s="6" t="str">
        <f t="shared" si="30"/>
        <v/>
      </c>
    </row>
    <row r="1838" spans="22:22" x14ac:dyDescent="0.25">
      <c r="V1838" s="6" t="str">
        <f t="shared" si="30"/>
        <v/>
      </c>
    </row>
    <row r="1839" spans="22:22" x14ac:dyDescent="0.25">
      <c r="V1839" s="6" t="str">
        <f t="shared" si="30"/>
        <v/>
      </c>
    </row>
    <row r="1840" spans="22:22" x14ac:dyDescent="0.25">
      <c r="V1840" s="6" t="str">
        <f t="shared" ref="V1840:V1903" si="31">IFERROR(DATEVALUE(D1840),"")</f>
        <v/>
      </c>
    </row>
    <row r="1841" spans="22:22" x14ac:dyDescent="0.25">
      <c r="V1841" s="6" t="str">
        <f t="shared" si="31"/>
        <v/>
      </c>
    </row>
    <row r="1842" spans="22:22" x14ac:dyDescent="0.25">
      <c r="V1842" s="6" t="str">
        <f t="shared" si="31"/>
        <v/>
      </c>
    </row>
    <row r="1843" spans="22:22" x14ac:dyDescent="0.25">
      <c r="V1843" s="6" t="str">
        <f t="shared" si="31"/>
        <v/>
      </c>
    </row>
    <row r="1844" spans="22:22" x14ac:dyDescent="0.25">
      <c r="V1844" s="6" t="str">
        <f t="shared" si="31"/>
        <v/>
      </c>
    </row>
    <row r="1845" spans="22:22" x14ac:dyDescent="0.25">
      <c r="V1845" s="6" t="str">
        <f t="shared" si="31"/>
        <v/>
      </c>
    </row>
    <row r="1846" spans="22:22" x14ac:dyDescent="0.25">
      <c r="V1846" s="6" t="str">
        <f t="shared" si="31"/>
        <v/>
      </c>
    </row>
    <row r="1847" spans="22:22" x14ac:dyDescent="0.25">
      <c r="V1847" s="6" t="str">
        <f t="shared" si="31"/>
        <v/>
      </c>
    </row>
    <row r="1848" spans="22:22" x14ac:dyDescent="0.25">
      <c r="V1848" s="6" t="str">
        <f t="shared" si="31"/>
        <v/>
      </c>
    </row>
    <row r="1849" spans="22:22" x14ac:dyDescent="0.25">
      <c r="V1849" s="6" t="str">
        <f t="shared" si="31"/>
        <v/>
      </c>
    </row>
    <row r="1850" spans="22:22" x14ac:dyDescent="0.25">
      <c r="V1850" s="6" t="str">
        <f t="shared" si="31"/>
        <v/>
      </c>
    </row>
    <row r="1851" spans="22:22" x14ac:dyDescent="0.25">
      <c r="V1851" s="6" t="str">
        <f t="shared" si="31"/>
        <v/>
      </c>
    </row>
    <row r="1852" spans="22:22" x14ac:dyDescent="0.25">
      <c r="V1852" s="6" t="str">
        <f t="shared" si="31"/>
        <v/>
      </c>
    </row>
    <row r="1853" spans="22:22" x14ac:dyDescent="0.25">
      <c r="V1853" s="6" t="str">
        <f t="shared" si="31"/>
        <v/>
      </c>
    </row>
    <row r="1854" spans="22:22" x14ac:dyDescent="0.25">
      <c r="V1854" s="6" t="str">
        <f t="shared" si="31"/>
        <v/>
      </c>
    </row>
    <row r="1855" spans="22:22" x14ac:dyDescent="0.25">
      <c r="V1855" s="6" t="str">
        <f t="shared" si="31"/>
        <v/>
      </c>
    </row>
    <row r="1856" spans="22:22" x14ac:dyDescent="0.25">
      <c r="V1856" s="6" t="str">
        <f t="shared" si="31"/>
        <v/>
      </c>
    </row>
    <row r="1857" spans="22:22" x14ac:dyDescent="0.25">
      <c r="V1857" s="6" t="str">
        <f t="shared" si="31"/>
        <v/>
      </c>
    </row>
    <row r="1858" spans="22:22" x14ac:dyDescent="0.25">
      <c r="V1858" s="6" t="str">
        <f t="shared" si="31"/>
        <v/>
      </c>
    </row>
    <row r="1859" spans="22:22" x14ac:dyDescent="0.25">
      <c r="V1859" s="6" t="str">
        <f t="shared" si="31"/>
        <v/>
      </c>
    </row>
    <row r="1860" spans="22:22" x14ac:dyDescent="0.25">
      <c r="V1860" s="6" t="str">
        <f t="shared" si="31"/>
        <v/>
      </c>
    </row>
    <row r="1861" spans="22:22" x14ac:dyDescent="0.25">
      <c r="V1861" s="6" t="str">
        <f t="shared" si="31"/>
        <v/>
      </c>
    </row>
    <row r="1862" spans="22:22" x14ac:dyDescent="0.25">
      <c r="V1862" s="6" t="str">
        <f t="shared" si="31"/>
        <v/>
      </c>
    </row>
    <row r="1863" spans="22:22" x14ac:dyDescent="0.25">
      <c r="V1863" s="6" t="str">
        <f t="shared" si="31"/>
        <v/>
      </c>
    </row>
    <row r="1864" spans="22:22" x14ac:dyDescent="0.25">
      <c r="V1864" s="6" t="str">
        <f t="shared" si="31"/>
        <v/>
      </c>
    </row>
    <row r="1865" spans="22:22" x14ac:dyDescent="0.25">
      <c r="V1865" s="6" t="str">
        <f t="shared" si="31"/>
        <v/>
      </c>
    </row>
    <row r="1866" spans="22:22" x14ac:dyDescent="0.25">
      <c r="V1866" s="6" t="str">
        <f t="shared" si="31"/>
        <v/>
      </c>
    </row>
    <row r="1867" spans="22:22" x14ac:dyDescent="0.25">
      <c r="V1867" s="6" t="str">
        <f t="shared" si="31"/>
        <v/>
      </c>
    </row>
    <row r="1868" spans="22:22" x14ac:dyDescent="0.25">
      <c r="V1868" s="6" t="str">
        <f t="shared" si="31"/>
        <v/>
      </c>
    </row>
    <row r="1869" spans="22:22" x14ac:dyDescent="0.25">
      <c r="V1869" s="6" t="str">
        <f t="shared" si="31"/>
        <v/>
      </c>
    </row>
    <row r="1870" spans="22:22" x14ac:dyDescent="0.25">
      <c r="V1870" s="6" t="str">
        <f t="shared" si="31"/>
        <v/>
      </c>
    </row>
    <row r="1871" spans="22:22" x14ac:dyDescent="0.25">
      <c r="V1871" s="6" t="str">
        <f t="shared" si="31"/>
        <v/>
      </c>
    </row>
    <row r="1872" spans="22:22" x14ac:dyDescent="0.25">
      <c r="V1872" s="6" t="str">
        <f t="shared" si="31"/>
        <v/>
      </c>
    </row>
    <row r="1873" spans="22:22" x14ac:dyDescent="0.25">
      <c r="V1873" s="6" t="str">
        <f t="shared" si="31"/>
        <v/>
      </c>
    </row>
    <row r="1874" spans="22:22" x14ac:dyDescent="0.25">
      <c r="V1874" s="6" t="str">
        <f t="shared" si="31"/>
        <v/>
      </c>
    </row>
    <row r="1875" spans="22:22" x14ac:dyDescent="0.25">
      <c r="V1875" s="6" t="str">
        <f t="shared" si="31"/>
        <v/>
      </c>
    </row>
    <row r="1876" spans="22:22" x14ac:dyDescent="0.25">
      <c r="V1876" s="6" t="str">
        <f t="shared" si="31"/>
        <v/>
      </c>
    </row>
    <row r="1877" spans="22:22" x14ac:dyDescent="0.25">
      <c r="V1877" s="6" t="str">
        <f t="shared" si="31"/>
        <v/>
      </c>
    </row>
    <row r="1878" spans="22:22" x14ac:dyDescent="0.25">
      <c r="V1878" s="6" t="str">
        <f t="shared" si="31"/>
        <v/>
      </c>
    </row>
    <row r="1879" spans="22:22" x14ac:dyDescent="0.25">
      <c r="V1879" s="6" t="str">
        <f t="shared" si="31"/>
        <v/>
      </c>
    </row>
    <row r="1880" spans="22:22" x14ac:dyDescent="0.25">
      <c r="V1880" s="6" t="str">
        <f t="shared" si="31"/>
        <v/>
      </c>
    </row>
    <row r="1881" spans="22:22" x14ac:dyDescent="0.25">
      <c r="V1881" s="6" t="str">
        <f t="shared" si="31"/>
        <v/>
      </c>
    </row>
    <row r="1882" spans="22:22" x14ac:dyDescent="0.25">
      <c r="V1882" s="6" t="str">
        <f t="shared" si="31"/>
        <v/>
      </c>
    </row>
    <row r="1883" spans="22:22" x14ac:dyDescent="0.25">
      <c r="V1883" s="6" t="str">
        <f t="shared" si="31"/>
        <v/>
      </c>
    </row>
    <row r="1884" spans="22:22" x14ac:dyDescent="0.25">
      <c r="V1884" s="6" t="str">
        <f t="shared" si="31"/>
        <v/>
      </c>
    </row>
    <row r="1885" spans="22:22" x14ac:dyDescent="0.25">
      <c r="V1885" s="6" t="str">
        <f t="shared" si="31"/>
        <v/>
      </c>
    </row>
    <row r="1886" spans="22:22" x14ac:dyDescent="0.25">
      <c r="V1886" s="6" t="str">
        <f t="shared" si="31"/>
        <v/>
      </c>
    </row>
    <row r="1887" spans="22:22" x14ac:dyDescent="0.25">
      <c r="V1887" s="6" t="str">
        <f t="shared" si="31"/>
        <v/>
      </c>
    </row>
    <row r="1888" spans="22:22" x14ac:dyDescent="0.25">
      <c r="V1888" s="6" t="str">
        <f t="shared" si="31"/>
        <v/>
      </c>
    </row>
    <row r="1889" spans="22:22" x14ac:dyDescent="0.25">
      <c r="V1889" s="6" t="str">
        <f t="shared" si="31"/>
        <v/>
      </c>
    </row>
    <row r="1890" spans="22:22" x14ac:dyDescent="0.25">
      <c r="V1890" s="6" t="str">
        <f t="shared" si="31"/>
        <v/>
      </c>
    </row>
    <row r="1891" spans="22:22" x14ac:dyDescent="0.25">
      <c r="V1891" s="6" t="str">
        <f t="shared" si="31"/>
        <v/>
      </c>
    </row>
    <row r="1892" spans="22:22" x14ac:dyDescent="0.25">
      <c r="V1892" s="6" t="str">
        <f t="shared" si="31"/>
        <v/>
      </c>
    </row>
    <row r="1893" spans="22:22" x14ac:dyDescent="0.25">
      <c r="V1893" s="6" t="str">
        <f t="shared" si="31"/>
        <v/>
      </c>
    </row>
    <row r="1894" spans="22:22" x14ac:dyDescent="0.25">
      <c r="V1894" s="6" t="str">
        <f t="shared" si="31"/>
        <v/>
      </c>
    </row>
    <row r="1895" spans="22:22" x14ac:dyDescent="0.25">
      <c r="V1895" s="6" t="str">
        <f t="shared" si="31"/>
        <v/>
      </c>
    </row>
    <row r="1896" spans="22:22" x14ac:dyDescent="0.25">
      <c r="V1896" s="6" t="str">
        <f t="shared" si="31"/>
        <v/>
      </c>
    </row>
    <row r="1897" spans="22:22" x14ac:dyDescent="0.25">
      <c r="V1897" s="6" t="str">
        <f t="shared" si="31"/>
        <v/>
      </c>
    </row>
    <row r="1898" spans="22:22" x14ac:dyDescent="0.25">
      <c r="V1898" s="6" t="str">
        <f t="shared" si="31"/>
        <v/>
      </c>
    </row>
    <row r="1899" spans="22:22" x14ac:dyDescent="0.25">
      <c r="V1899" s="6" t="str">
        <f t="shared" si="31"/>
        <v/>
      </c>
    </row>
    <row r="1900" spans="22:22" x14ac:dyDescent="0.25">
      <c r="V1900" s="6" t="str">
        <f t="shared" si="31"/>
        <v/>
      </c>
    </row>
    <row r="1901" spans="22:22" x14ac:dyDescent="0.25">
      <c r="V1901" s="6" t="str">
        <f t="shared" si="31"/>
        <v/>
      </c>
    </row>
    <row r="1902" spans="22:22" x14ac:dyDescent="0.25">
      <c r="V1902" s="6" t="str">
        <f t="shared" si="31"/>
        <v/>
      </c>
    </row>
    <row r="1903" spans="22:22" x14ac:dyDescent="0.25">
      <c r="V1903" s="6" t="str">
        <f t="shared" si="31"/>
        <v/>
      </c>
    </row>
    <row r="1904" spans="22:22" x14ac:dyDescent="0.25">
      <c r="V1904" s="6" t="str">
        <f t="shared" ref="V1904:V1967" si="32">IFERROR(DATEVALUE(D1904),"")</f>
        <v/>
      </c>
    </row>
    <row r="1905" spans="22:22" x14ac:dyDescent="0.25">
      <c r="V1905" s="6" t="str">
        <f t="shared" si="32"/>
        <v/>
      </c>
    </row>
    <row r="1906" spans="22:22" x14ac:dyDescent="0.25">
      <c r="V1906" s="6" t="str">
        <f t="shared" si="32"/>
        <v/>
      </c>
    </row>
    <row r="1907" spans="22:22" x14ac:dyDescent="0.25">
      <c r="V1907" s="6" t="str">
        <f t="shared" si="32"/>
        <v/>
      </c>
    </row>
    <row r="1908" spans="22:22" x14ac:dyDescent="0.25">
      <c r="V1908" s="6" t="str">
        <f t="shared" si="32"/>
        <v/>
      </c>
    </row>
    <row r="1909" spans="22:22" x14ac:dyDescent="0.25">
      <c r="V1909" s="6" t="str">
        <f t="shared" si="32"/>
        <v/>
      </c>
    </row>
    <row r="1910" spans="22:22" x14ac:dyDescent="0.25">
      <c r="V1910" s="6" t="str">
        <f t="shared" si="32"/>
        <v/>
      </c>
    </row>
    <row r="1911" spans="22:22" x14ac:dyDescent="0.25">
      <c r="V1911" s="6" t="str">
        <f t="shared" si="32"/>
        <v/>
      </c>
    </row>
    <row r="1912" spans="22:22" x14ac:dyDescent="0.25">
      <c r="V1912" s="6" t="str">
        <f t="shared" si="32"/>
        <v/>
      </c>
    </row>
    <row r="1913" spans="22:22" x14ac:dyDescent="0.25">
      <c r="V1913" s="6" t="str">
        <f t="shared" si="32"/>
        <v/>
      </c>
    </row>
    <row r="1914" spans="22:22" x14ac:dyDescent="0.25">
      <c r="V1914" s="6" t="str">
        <f t="shared" si="32"/>
        <v/>
      </c>
    </row>
    <row r="1915" spans="22:22" x14ac:dyDescent="0.25">
      <c r="V1915" s="6" t="str">
        <f t="shared" si="32"/>
        <v/>
      </c>
    </row>
    <row r="1916" spans="22:22" x14ac:dyDescent="0.25">
      <c r="V1916" s="6" t="str">
        <f t="shared" si="32"/>
        <v/>
      </c>
    </row>
    <row r="1917" spans="22:22" x14ac:dyDescent="0.25">
      <c r="V1917" s="6" t="str">
        <f t="shared" si="32"/>
        <v/>
      </c>
    </row>
    <row r="1918" spans="22:22" x14ac:dyDescent="0.25">
      <c r="V1918" s="6" t="str">
        <f t="shared" si="32"/>
        <v/>
      </c>
    </row>
    <row r="1919" spans="22:22" x14ac:dyDescent="0.25">
      <c r="V1919" s="6" t="str">
        <f t="shared" si="32"/>
        <v/>
      </c>
    </row>
    <row r="1920" spans="22:22" x14ac:dyDescent="0.25">
      <c r="V1920" s="6" t="str">
        <f t="shared" si="32"/>
        <v/>
      </c>
    </row>
    <row r="1921" spans="22:22" x14ac:dyDescent="0.25">
      <c r="V1921" s="6" t="str">
        <f t="shared" si="32"/>
        <v/>
      </c>
    </row>
    <row r="1922" spans="22:22" x14ac:dyDescent="0.25">
      <c r="V1922" s="6" t="str">
        <f t="shared" si="32"/>
        <v/>
      </c>
    </row>
    <row r="1923" spans="22:22" x14ac:dyDescent="0.25">
      <c r="V1923" s="6" t="str">
        <f t="shared" si="32"/>
        <v/>
      </c>
    </row>
    <row r="1924" spans="22:22" x14ac:dyDescent="0.25">
      <c r="V1924" s="6" t="str">
        <f t="shared" si="32"/>
        <v/>
      </c>
    </row>
    <row r="1925" spans="22:22" x14ac:dyDescent="0.25">
      <c r="V1925" s="6" t="str">
        <f t="shared" si="32"/>
        <v/>
      </c>
    </row>
    <row r="1926" spans="22:22" x14ac:dyDescent="0.25">
      <c r="V1926" s="6" t="str">
        <f t="shared" si="32"/>
        <v/>
      </c>
    </row>
    <row r="1927" spans="22:22" x14ac:dyDescent="0.25">
      <c r="V1927" s="6" t="str">
        <f t="shared" si="32"/>
        <v/>
      </c>
    </row>
    <row r="1928" spans="22:22" x14ac:dyDescent="0.25">
      <c r="V1928" s="6" t="str">
        <f t="shared" si="32"/>
        <v/>
      </c>
    </row>
    <row r="1929" spans="22:22" x14ac:dyDescent="0.25">
      <c r="V1929" s="6" t="str">
        <f t="shared" si="32"/>
        <v/>
      </c>
    </row>
    <row r="1930" spans="22:22" x14ac:dyDescent="0.25">
      <c r="V1930" s="6" t="str">
        <f t="shared" si="32"/>
        <v/>
      </c>
    </row>
    <row r="1931" spans="22:22" x14ac:dyDescent="0.25">
      <c r="V1931" s="6" t="str">
        <f t="shared" si="32"/>
        <v/>
      </c>
    </row>
    <row r="1932" spans="22:22" x14ac:dyDescent="0.25">
      <c r="V1932" s="6" t="str">
        <f t="shared" si="32"/>
        <v/>
      </c>
    </row>
    <row r="1933" spans="22:22" x14ac:dyDescent="0.25">
      <c r="V1933" s="6" t="str">
        <f t="shared" si="32"/>
        <v/>
      </c>
    </row>
    <row r="1934" spans="22:22" x14ac:dyDescent="0.25">
      <c r="V1934" s="6" t="str">
        <f t="shared" si="32"/>
        <v/>
      </c>
    </row>
    <row r="1935" spans="22:22" x14ac:dyDescent="0.25">
      <c r="V1935" s="6" t="str">
        <f t="shared" si="32"/>
        <v/>
      </c>
    </row>
    <row r="1936" spans="22:22" x14ac:dyDescent="0.25">
      <c r="V1936" s="6" t="str">
        <f t="shared" si="32"/>
        <v/>
      </c>
    </row>
    <row r="1937" spans="22:22" x14ac:dyDescent="0.25">
      <c r="V1937" s="6" t="str">
        <f t="shared" si="32"/>
        <v/>
      </c>
    </row>
    <row r="1938" spans="22:22" x14ac:dyDescent="0.25">
      <c r="V1938" s="6" t="str">
        <f t="shared" si="32"/>
        <v/>
      </c>
    </row>
    <row r="1939" spans="22:22" x14ac:dyDescent="0.25">
      <c r="V1939" s="6" t="str">
        <f t="shared" si="32"/>
        <v/>
      </c>
    </row>
    <row r="1940" spans="22:22" x14ac:dyDescent="0.25">
      <c r="V1940" s="6" t="str">
        <f t="shared" si="32"/>
        <v/>
      </c>
    </row>
    <row r="1941" spans="22:22" x14ac:dyDescent="0.25">
      <c r="V1941" s="6" t="str">
        <f t="shared" si="32"/>
        <v/>
      </c>
    </row>
    <row r="1942" spans="22:22" x14ac:dyDescent="0.25">
      <c r="V1942" s="6" t="str">
        <f t="shared" si="32"/>
        <v/>
      </c>
    </row>
    <row r="1943" spans="22:22" x14ac:dyDescent="0.25">
      <c r="V1943" s="6" t="str">
        <f t="shared" si="32"/>
        <v/>
      </c>
    </row>
    <row r="1944" spans="22:22" x14ac:dyDescent="0.25">
      <c r="V1944" s="6" t="str">
        <f t="shared" si="32"/>
        <v/>
      </c>
    </row>
    <row r="1945" spans="22:22" x14ac:dyDescent="0.25">
      <c r="V1945" s="6" t="str">
        <f t="shared" si="32"/>
        <v/>
      </c>
    </row>
    <row r="1946" spans="22:22" x14ac:dyDescent="0.25">
      <c r="V1946" s="6" t="str">
        <f t="shared" si="32"/>
        <v/>
      </c>
    </row>
    <row r="1947" spans="22:22" x14ac:dyDescent="0.25">
      <c r="V1947" s="6" t="str">
        <f t="shared" si="32"/>
        <v/>
      </c>
    </row>
    <row r="1948" spans="22:22" x14ac:dyDescent="0.25">
      <c r="V1948" s="6" t="str">
        <f t="shared" si="32"/>
        <v/>
      </c>
    </row>
    <row r="1949" spans="22:22" x14ac:dyDescent="0.25">
      <c r="V1949" s="6" t="str">
        <f t="shared" si="32"/>
        <v/>
      </c>
    </row>
    <row r="1950" spans="22:22" x14ac:dyDescent="0.25">
      <c r="V1950" s="6" t="str">
        <f t="shared" si="32"/>
        <v/>
      </c>
    </row>
    <row r="1951" spans="22:22" x14ac:dyDescent="0.25">
      <c r="V1951" s="6" t="str">
        <f t="shared" si="32"/>
        <v/>
      </c>
    </row>
    <row r="1952" spans="22:22" x14ac:dyDescent="0.25">
      <c r="V1952" s="6" t="str">
        <f t="shared" si="32"/>
        <v/>
      </c>
    </row>
    <row r="1953" spans="22:22" x14ac:dyDescent="0.25">
      <c r="V1953" s="6" t="str">
        <f t="shared" si="32"/>
        <v/>
      </c>
    </row>
    <row r="1954" spans="22:22" x14ac:dyDescent="0.25">
      <c r="V1954" s="6" t="str">
        <f t="shared" si="32"/>
        <v/>
      </c>
    </row>
    <row r="1955" spans="22:22" x14ac:dyDescent="0.25">
      <c r="V1955" s="6" t="str">
        <f t="shared" si="32"/>
        <v/>
      </c>
    </row>
    <row r="1956" spans="22:22" x14ac:dyDescent="0.25">
      <c r="V1956" s="6" t="str">
        <f t="shared" si="32"/>
        <v/>
      </c>
    </row>
    <row r="1957" spans="22:22" x14ac:dyDescent="0.25">
      <c r="V1957" s="6" t="str">
        <f t="shared" si="32"/>
        <v/>
      </c>
    </row>
    <row r="1958" spans="22:22" x14ac:dyDescent="0.25">
      <c r="V1958" s="6" t="str">
        <f t="shared" si="32"/>
        <v/>
      </c>
    </row>
    <row r="1959" spans="22:22" x14ac:dyDescent="0.25">
      <c r="V1959" s="6" t="str">
        <f t="shared" si="32"/>
        <v/>
      </c>
    </row>
    <row r="1960" spans="22:22" x14ac:dyDescent="0.25">
      <c r="V1960" s="6" t="str">
        <f t="shared" si="32"/>
        <v/>
      </c>
    </row>
    <row r="1961" spans="22:22" x14ac:dyDescent="0.25">
      <c r="V1961" s="6" t="str">
        <f t="shared" si="32"/>
        <v/>
      </c>
    </row>
    <row r="1962" spans="22:22" x14ac:dyDescent="0.25">
      <c r="V1962" s="6" t="str">
        <f t="shared" si="32"/>
        <v/>
      </c>
    </row>
    <row r="1963" spans="22:22" x14ac:dyDescent="0.25">
      <c r="V1963" s="6" t="str">
        <f t="shared" si="32"/>
        <v/>
      </c>
    </row>
    <row r="1964" spans="22:22" x14ac:dyDescent="0.25">
      <c r="V1964" s="6" t="str">
        <f t="shared" si="32"/>
        <v/>
      </c>
    </row>
    <row r="1965" spans="22:22" x14ac:dyDescent="0.25">
      <c r="V1965" s="6" t="str">
        <f t="shared" si="32"/>
        <v/>
      </c>
    </row>
    <row r="1966" spans="22:22" x14ac:dyDescent="0.25">
      <c r="V1966" s="6" t="str">
        <f t="shared" si="32"/>
        <v/>
      </c>
    </row>
    <row r="1967" spans="22:22" x14ac:dyDescent="0.25">
      <c r="V1967" s="6" t="str">
        <f t="shared" si="32"/>
        <v/>
      </c>
    </row>
    <row r="1968" spans="22:22" x14ac:dyDescent="0.25">
      <c r="V1968" s="6" t="str">
        <f t="shared" ref="V1968:V2031" si="33">IFERROR(DATEVALUE(D1968),"")</f>
        <v/>
      </c>
    </row>
    <row r="1969" spans="22:22" x14ac:dyDescent="0.25">
      <c r="V1969" s="6" t="str">
        <f t="shared" si="33"/>
        <v/>
      </c>
    </row>
    <row r="1970" spans="22:22" x14ac:dyDescent="0.25">
      <c r="V1970" s="6" t="str">
        <f t="shared" si="33"/>
        <v/>
      </c>
    </row>
    <row r="1971" spans="22:22" x14ac:dyDescent="0.25">
      <c r="V1971" s="6" t="str">
        <f t="shared" si="33"/>
        <v/>
      </c>
    </row>
    <row r="1972" spans="22:22" x14ac:dyDescent="0.25">
      <c r="V1972" s="6" t="str">
        <f t="shared" si="33"/>
        <v/>
      </c>
    </row>
    <row r="1973" spans="22:22" x14ac:dyDescent="0.25">
      <c r="V1973" s="6" t="str">
        <f t="shared" si="33"/>
        <v/>
      </c>
    </row>
    <row r="1974" spans="22:22" x14ac:dyDescent="0.25">
      <c r="V1974" s="6" t="str">
        <f t="shared" si="33"/>
        <v/>
      </c>
    </row>
    <row r="1975" spans="22:22" x14ac:dyDescent="0.25">
      <c r="V1975" s="6" t="str">
        <f t="shared" si="33"/>
        <v/>
      </c>
    </row>
    <row r="1976" spans="22:22" x14ac:dyDescent="0.25">
      <c r="V1976" s="6" t="str">
        <f t="shared" si="33"/>
        <v/>
      </c>
    </row>
    <row r="1977" spans="22:22" x14ac:dyDescent="0.25">
      <c r="V1977" s="6" t="str">
        <f t="shared" si="33"/>
        <v/>
      </c>
    </row>
    <row r="1978" spans="22:22" x14ac:dyDescent="0.25">
      <c r="V1978" s="6" t="str">
        <f t="shared" si="33"/>
        <v/>
      </c>
    </row>
    <row r="1979" spans="22:22" x14ac:dyDescent="0.25">
      <c r="V1979" s="6" t="str">
        <f t="shared" si="33"/>
        <v/>
      </c>
    </row>
    <row r="1980" spans="22:22" x14ac:dyDescent="0.25">
      <c r="V1980" s="6" t="str">
        <f t="shared" si="33"/>
        <v/>
      </c>
    </row>
    <row r="1981" spans="22:22" x14ac:dyDescent="0.25">
      <c r="V1981" s="6" t="str">
        <f t="shared" si="33"/>
        <v/>
      </c>
    </row>
    <row r="1982" spans="22:22" x14ac:dyDescent="0.25">
      <c r="V1982" s="6" t="str">
        <f t="shared" si="33"/>
        <v/>
      </c>
    </row>
    <row r="1983" spans="22:22" x14ac:dyDescent="0.25">
      <c r="V1983" s="6" t="str">
        <f t="shared" si="33"/>
        <v/>
      </c>
    </row>
    <row r="1984" spans="22:22" x14ac:dyDescent="0.25">
      <c r="V1984" s="6" t="str">
        <f t="shared" si="33"/>
        <v/>
      </c>
    </row>
    <row r="1985" spans="22:22" x14ac:dyDescent="0.25">
      <c r="V1985" s="6" t="str">
        <f t="shared" si="33"/>
        <v/>
      </c>
    </row>
    <row r="1986" spans="22:22" x14ac:dyDescent="0.25">
      <c r="V1986" s="6" t="str">
        <f t="shared" si="33"/>
        <v/>
      </c>
    </row>
    <row r="1987" spans="22:22" x14ac:dyDescent="0.25">
      <c r="V1987" s="6" t="str">
        <f t="shared" si="33"/>
        <v/>
      </c>
    </row>
    <row r="1988" spans="22:22" x14ac:dyDescent="0.25">
      <c r="V1988" s="6" t="str">
        <f t="shared" si="33"/>
        <v/>
      </c>
    </row>
    <row r="1989" spans="22:22" x14ac:dyDescent="0.25">
      <c r="V1989" s="6" t="str">
        <f t="shared" si="33"/>
        <v/>
      </c>
    </row>
    <row r="1990" spans="22:22" x14ac:dyDescent="0.25">
      <c r="V1990" s="6" t="str">
        <f t="shared" si="33"/>
        <v/>
      </c>
    </row>
    <row r="1991" spans="22:22" x14ac:dyDescent="0.25">
      <c r="V1991" s="6" t="str">
        <f t="shared" si="33"/>
        <v/>
      </c>
    </row>
    <row r="1992" spans="22:22" x14ac:dyDescent="0.25">
      <c r="V1992" s="6" t="str">
        <f t="shared" si="33"/>
        <v/>
      </c>
    </row>
    <row r="1993" spans="22:22" x14ac:dyDescent="0.25">
      <c r="V1993" s="6" t="str">
        <f t="shared" si="33"/>
        <v/>
      </c>
    </row>
    <row r="1994" spans="22:22" x14ac:dyDescent="0.25">
      <c r="V1994" s="6" t="str">
        <f t="shared" si="33"/>
        <v/>
      </c>
    </row>
    <row r="1995" spans="22:22" x14ac:dyDescent="0.25">
      <c r="V1995" s="6" t="str">
        <f t="shared" si="33"/>
        <v/>
      </c>
    </row>
    <row r="1996" spans="22:22" x14ac:dyDescent="0.25">
      <c r="V1996" s="6" t="str">
        <f t="shared" si="33"/>
        <v/>
      </c>
    </row>
    <row r="1997" spans="22:22" x14ac:dyDescent="0.25">
      <c r="V1997" s="6" t="str">
        <f t="shared" si="33"/>
        <v/>
      </c>
    </row>
    <row r="1998" spans="22:22" x14ac:dyDescent="0.25">
      <c r="V1998" s="6" t="str">
        <f t="shared" si="33"/>
        <v/>
      </c>
    </row>
    <row r="1999" spans="22:22" x14ac:dyDescent="0.25">
      <c r="V1999" s="6" t="str">
        <f t="shared" si="33"/>
        <v/>
      </c>
    </row>
    <row r="2000" spans="22:22" x14ac:dyDescent="0.25">
      <c r="V2000" s="6" t="str">
        <f t="shared" si="33"/>
        <v/>
      </c>
    </row>
    <row r="2001" spans="22:22" x14ac:dyDescent="0.25">
      <c r="V2001" s="6" t="str">
        <f t="shared" si="33"/>
        <v/>
      </c>
    </row>
    <row r="2002" spans="22:22" x14ac:dyDescent="0.25">
      <c r="V2002" s="6" t="str">
        <f t="shared" si="33"/>
        <v/>
      </c>
    </row>
    <row r="2003" spans="22:22" x14ac:dyDescent="0.25">
      <c r="V2003" s="6" t="str">
        <f t="shared" si="33"/>
        <v/>
      </c>
    </row>
    <row r="2004" spans="22:22" x14ac:dyDescent="0.25">
      <c r="V2004" s="6" t="str">
        <f t="shared" si="33"/>
        <v/>
      </c>
    </row>
    <row r="2005" spans="22:22" x14ac:dyDescent="0.25">
      <c r="V2005" s="6" t="str">
        <f t="shared" si="33"/>
        <v/>
      </c>
    </row>
    <row r="2006" spans="22:22" x14ac:dyDescent="0.25">
      <c r="V2006" s="6" t="str">
        <f t="shared" si="33"/>
        <v/>
      </c>
    </row>
    <row r="2007" spans="22:22" x14ac:dyDescent="0.25">
      <c r="V2007" s="6" t="str">
        <f t="shared" si="33"/>
        <v/>
      </c>
    </row>
    <row r="2008" spans="22:22" x14ac:dyDescent="0.25">
      <c r="V2008" s="6" t="str">
        <f t="shared" si="33"/>
        <v/>
      </c>
    </row>
    <row r="2009" spans="22:22" x14ac:dyDescent="0.25">
      <c r="V2009" s="6" t="str">
        <f t="shared" si="33"/>
        <v/>
      </c>
    </row>
    <row r="2010" spans="22:22" x14ac:dyDescent="0.25">
      <c r="V2010" s="6" t="str">
        <f t="shared" si="33"/>
        <v/>
      </c>
    </row>
    <row r="2011" spans="22:22" x14ac:dyDescent="0.25">
      <c r="V2011" s="6" t="str">
        <f t="shared" si="33"/>
        <v/>
      </c>
    </row>
    <row r="2012" spans="22:22" x14ac:dyDescent="0.25">
      <c r="V2012" s="6" t="str">
        <f t="shared" si="33"/>
        <v/>
      </c>
    </row>
    <row r="2013" spans="22:22" x14ac:dyDescent="0.25">
      <c r="V2013" s="6" t="str">
        <f t="shared" si="33"/>
        <v/>
      </c>
    </row>
    <row r="2014" spans="22:22" x14ac:dyDescent="0.25">
      <c r="V2014" s="6" t="str">
        <f t="shared" si="33"/>
        <v/>
      </c>
    </row>
    <row r="2015" spans="22:22" x14ac:dyDescent="0.25">
      <c r="V2015" s="6" t="str">
        <f t="shared" si="33"/>
        <v/>
      </c>
    </row>
    <row r="2016" spans="22:22" x14ac:dyDescent="0.25">
      <c r="V2016" s="6" t="str">
        <f t="shared" si="33"/>
        <v/>
      </c>
    </row>
    <row r="2017" spans="22:22" x14ac:dyDescent="0.25">
      <c r="V2017" s="6" t="str">
        <f t="shared" si="33"/>
        <v/>
      </c>
    </row>
    <row r="2018" spans="22:22" x14ac:dyDescent="0.25">
      <c r="V2018" s="6" t="str">
        <f t="shared" si="33"/>
        <v/>
      </c>
    </row>
    <row r="2019" spans="22:22" x14ac:dyDescent="0.25">
      <c r="V2019" s="6" t="str">
        <f t="shared" si="33"/>
        <v/>
      </c>
    </row>
    <row r="2020" spans="22:22" x14ac:dyDescent="0.25">
      <c r="V2020" s="6" t="str">
        <f t="shared" si="33"/>
        <v/>
      </c>
    </row>
    <row r="2021" spans="22:22" x14ac:dyDescent="0.25">
      <c r="V2021" s="6" t="str">
        <f t="shared" si="33"/>
        <v/>
      </c>
    </row>
    <row r="2022" spans="22:22" x14ac:dyDescent="0.25">
      <c r="V2022" s="6" t="str">
        <f t="shared" si="33"/>
        <v/>
      </c>
    </row>
    <row r="2023" spans="22:22" x14ac:dyDescent="0.25">
      <c r="V2023" s="6" t="str">
        <f t="shared" si="33"/>
        <v/>
      </c>
    </row>
    <row r="2024" spans="22:22" x14ac:dyDescent="0.25">
      <c r="V2024" s="6" t="str">
        <f t="shared" si="33"/>
        <v/>
      </c>
    </row>
    <row r="2025" spans="22:22" x14ac:dyDescent="0.25">
      <c r="V2025" s="6" t="str">
        <f t="shared" si="33"/>
        <v/>
      </c>
    </row>
    <row r="2026" spans="22:22" x14ac:dyDescent="0.25">
      <c r="V2026" s="6" t="str">
        <f t="shared" si="33"/>
        <v/>
      </c>
    </row>
    <row r="2027" spans="22:22" x14ac:dyDescent="0.25">
      <c r="V2027" s="6" t="str">
        <f t="shared" si="33"/>
        <v/>
      </c>
    </row>
    <row r="2028" spans="22:22" x14ac:dyDescent="0.25">
      <c r="V2028" s="6" t="str">
        <f t="shared" si="33"/>
        <v/>
      </c>
    </row>
    <row r="2029" spans="22:22" x14ac:dyDescent="0.25">
      <c r="V2029" s="6" t="str">
        <f t="shared" si="33"/>
        <v/>
      </c>
    </row>
    <row r="2030" spans="22:22" x14ac:dyDescent="0.25">
      <c r="V2030" s="6" t="str">
        <f t="shared" si="33"/>
        <v/>
      </c>
    </row>
    <row r="2031" spans="22:22" x14ac:dyDescent="0.25">
      <c r="V2031" s="6" t="str">
        <f t="shared" si="33"/>
        <v/>
      </c>
    </row>
    <row r="2032" spans="22:22" x14ac:dyDescent="0.25">
      <c r="V2032" s="6" t="str">
        <f t="shared" ref="V2032:V2095" si="34">IFERROR(DATEVALUE(D2032),"")</f>
        <v/>
      </c>
    </row>
    <row r="2033" spans="22:22" x14ac:dyDescent="0.25">
      <c r="V2033" s="6" t="str">
        <f t="shared" si="34"/>
        <v/>
      </c>
    </row>
    <row r="2034" spans="22:22" x14ac:dyDescent="0.25">
      <c r="V2034" s="6" t="str">
        <f t="shared" si="34"/>
        <v/>
      </c>
    </row>
    <row r="2035" spans="22:22" x14ac:dyDescent="0.25">
      <c r="V2035" s="6" t="str">
        <f t="shared" si="34"/>
        <v/>
      </c>
    </row>
    <row r="2036" spans="22:22" x14ac:dyDescent="0.25">
      <c r="V2036" s="6" t="str">
        <f t="shared" si="34"/>
        <v/>
      </c>
    </row>
    <row r="2037" spans="22:22" x14ac:dyDescent="0.25">
      <c r="V2037" s="6" t="str">
        <f t="shared" si="34"/>
        <v/>
      </c>
    </row>
    <row r="2038" spans="22:22" x14ac:dyDescent="0.25">
      <c r="V2038" s="6" t="str">
        <f t="shared" si="34"/>
        <v/>
      </c>
    </row>
    <row r="2039" spans="22:22" x14ac:dyDescent="0.25">
      <c r="V2039" s="6" t="str">
        <f t="shared" si="34"/>
        <v/>
      </c>
    </row>
    <row r="2040" spans="22:22" x14ac:dyDescent="0.25">
      <c r="V2040" s="6" t="str">
        <f t="shared" si="34"/>
        <v/>
      </c>
    </row>
    <row r="2041" spans="22:22" x14ac:dyDescent="0.25">
      <c r="V2041" s="6" t="str">
        <f t="shared" si="34"/>
        <v/>
      </c>
    </row>
    <row r="2042" spans="22:22" x14ac:dyDescent="0.25">
      <c r="V2042" s="6" t="str">
        <f t="shared" si="34"/>
        <v/>
      </c>
    </row>
    <row r="2043" spans="22:22" x14ac:dyDescent="0.25">
      <c r="V2043" s="6" t="str">
        <f t="shared" si="34"/>
        <v/>
      </c>
    </row>
    <row r="2044" spans="22:22" x14ac:dyDescent="0.25">
      <c r="V2044" s="6" t="str">
        <f t="shared" si="34"/>
        <v/>
      </c>
    </row>
    <row r="2045" spans="22:22" x14ac:dyDescent="0.25">
      <c r="V2045" s="6" t="str">
        <f t="shared" si="34"/>
        <v/>
      </c>
    </row>
    <row r="2046" spans="22:22" x14ac:dyDescent="0.25">
      <c r="V2046" s="6" t="str">
        <f t="shared" si="34"/>
        <v/>
      </c>
    </row>
    <row r="2047" spans="22:22" x14ac:dyDescent="0.25">
      <c r="V2047" s="6" t="str">
        <f t="shared" si="34"/>
        <v/>
      </c>
    </row>
    <row r="2048" spans="22:22" x14ac:dyDescent="0.25">
      <c r="V2048" s="6" t="str">
        <f t="shared" si="34"/>
        <v/>
      </c>
    </row>
    <row r="2049" spans="22:22" x14ac:dyDescent="0.25">
      <c r="V2049" s="6" t="str">
        <f t="shared" si="34"/>
        <v/>
      </c>
    </row>
    <row r="2050" spans="22:22" x14ac:dyDescent="0.25">
      <c r="V2050" s="6" t="str">
        <f t="shared" si="34"/>
        <v/>
      </c>
    </row>
    <row r="2051" spans="22:22" x14ac:dyDescent="0.25">
      <c r="V2051" s="6" t="str">
        <f t="shared" si="34"/>
        <v/>
      </c>
    </row>
    <row r="2052" spans="22:22" x14ac:dyDescent="0.25">
      <c r="V2052" s="6" t="str">
        <f t="shared" si="34"/>
        <v/>
      </c>
    </row>
    <row r="2053" spans="22:22" x14ac:dyDescent="0.25">
      <c r="V2053" s="6" t="str">
        <f t="shared" si="34"/>
        <v/>
      </c>
    </row>
    <row r="2054" spans="22:22" x14ac:dyDescent="0.25">
      <c r="V2054" s="6" t="str">
        <f t="shared" si="34"/>
        <v/>
      </c>
    </row>
    <row r="2055" spans="22:22" x14ac:dyDescent="0.25">
      <c r="V2055" s="6" t="str">
        <f t="shared" si="34"/>
        <v/>
      </c>
    </row>
    <row r="2056" spans="22:22" x14ac:dyDescent="0.25">
      <c r="V2056" s="6" t="str">
        <f t="shared" si="34"/>
        <v/>
      </c>
    </row>
    <row r="2057" spans="22:22" x14ac:dyDescent="0.25">
      <c r="V2057" s="6" t="str">
        <f t="shared" si="34"/>
        <v/>
      </c>
    </row>
    <row r="2058" spans="22:22" x14ac:dyDescent="0.25">
      <c r="V2058" s="6" t="str">
        <f t="shared" si="34"/>
        <v/>
      </c>
    </row>
    <row r="2059" spans="22:22" x14ac:dyDescent="0.25">
      <c r="V2059" s="6" t="str">
        <f t="shared" si="34"/>
        <v/>
      </c>
    </row>
    <row r="2060" spans="22:22" x14ac:dyDescent="0.25">
      <c r="V2060" s="6" t="str">
        <f t="shared" si="34"/>
        <v/>
      </c>
    </row>
    <row r="2061" spans="22:22" x14ac:dyDescent="0.25">
      <c r="V2061" s="6" t="str">
        <f t="shared" si="34"/>
        <v/>
      </c>
    </row>
    <row r="2062" spans="22:22" x14ac:dyDescent="0.25">
      <c r="V2062" s="6" t="str">
        <f t="shared" si="34"/>
        <v/>
      </c>
    </row>
    <row r="2063" spans="22:22" x14ac:dyDescent="0.25">
      <c r="V2063" s="6" t="str">
        <f t="shared" si="34"/>
        <v/>
      </c>
    </row>
    <row r="2064" spans="22:22" x14ac:dyDescent="0.25">
      <c r="V2064" s="6" t="str">
        <f t="shared" si="34"/>
        <v/>
      </c>
    </row>
    <row r="2065" spans="22:22" x14ac:dyDescent="0.25">
      <c r="V2065" s="6" t="str">
        <f t="shared" si="34"/>
        <v/>
      </c>
    </row>
    <row r="2066" spans="22:22" x14ac:dyDescent="0.25">
      <c r="V2066" s="6" t="str">
        <f t="shared" si="34"/>
        <v/>
      </c>
    </row>
    <row r="2067" spans="22:22" x14ac:dyDescent="0.25">
      <c r="V2067" s="6" t="str">
        <f t="shared" si="34"/>
        <v/>
      </c>
    </row>
    <row r="2068" spans="22:22" x14ac:dyDescent="0.25">
      <c r="V2068" s="6" t="str">
        <f t="shared" si="34"/>
        <v/>
      </c>
    </row>
    <row r="2069" spans="22:22" x14ac:dyDescent="0.25">
      <c r="V2069" s="6" t="str">
        <f t="shared" si="34"/>
        <v/>
      </c>
    </row>
    <row r="2070" spans="22:22" x14ac:dyDescent="0.25">
      <c r="V2070" s="6" t="str">
        <f t="shared" si="34"/>
        <v/>
      </c>
    </row>
    <row r="2071" spans="22:22" x14ac:dyDescent="0.25">
      <c r="V2071" s="6" t="str">
        <f t="shared" si="34"/>
        <v/>
      </c>
    </row>
    <row r="2072" spans="22:22" x14ac:dyDescent="0.25">
      <c r="V2072" s="6" t="str">
        <f t="shared" si="34"/>
        <v/>
      </c>
    </row>
    <row r="2073" spans="22:22" x14ac:dyDescent="0.25">
      <c r="V2073" s="6" t="str">
        <f t="shared" si="34"/>
        <v/>
      </c>
    </row>
    <row r="2074" spans="22:22" x14ac:dyDescent="0.25">
      <c r="V2074" s="6" t="str">
        <f t="shared" si="34"/>
        <v/>
      </c>
    </row>
    <row r="2075" spans="22:22" x14ac:dyDescent="0.25">
      <c r="V2075" s="6" t="str">
        <f t="shared" si="34"/>
        <v/>
      </c>
    </row>
    <row r="2076" spans="22:22" x14ac:dyDescent="0.25">
      <c r="V2076" s="6" t="str">
        <f t="shared" si="34"/>
        <v/>
      </c>
    </row>
    <row r="2077" spans="22:22" x14ac:dyDescent="0.25">
      <c r="V2077" s="6" t="str">
        <f t="shared" si="34"/>
        <v/>
      </c>
    </row>
    <row r="2078" spans="22:22" x14ac:dyDescent="0.25">
      <c r="V2078" s="6" t="str">
        <f t="shared" si="34"/>
        <v/>
      </c>
    </row>
    <row r="2079" spans="22:22" x14ac:dyDescent="0.25">
      <c r="V2079" s="6" t="str">
        <f t="shared" si="34"/>
        <v/>
      </c>
    </row>
    <row r="2080" spans="22:22" x14ac:dyDescent="0.25">
      <c r="V2080" s="6" t="str">
        <f t="shared" si="34"/>
        <v/>
      </c>
    </row>
    <row r="2081" spans="22:22" x14ac:dyDescent="0.25">
      <c r="V2081" s="6" t="str">
        <f t="shared" si="34"/>
        <v/>
      </c>
    </row>
    <row r="2082" spans="22:22" x14ac:dyDescent="0.25">
      <c r="V2082" s="6" t="str">
        <f t="shared" si="34"/>
        <v/>
      </c>
    </row>
    <row r="2083" spans="22:22" x14ac:dyDescent="0.25">
      <c r="V2083" s="6" t="str">
        <f t="shared" si="34"/>
        <v/>
      </c>
    </row>
    <row r="2084" spans="22:22" x14ac:dyDescent="0.25">
      <c r="V2084" s="6" t="str">
        <f t="shared" si="34"/>
        <v/>
      </c>
    </row>
    <row r="2085" spans="22:22" x14ac:dyDescent="0.25">
      <c r="V2085" s="6" t="str">
        <f t="shared" si="34"/>
        <v/>
      </c>
    </row>
    <row r="2086" spans="22:22" x14ac:dyDescent="0.25">
      <c r="V2086" s="6" t="str">
        <f t="shared" si="34"/>
        <v/>
      </c>
    </row>
    <row r="2087" spans="22:22" x14ac:dyDescent="0.25">
      <c r="V2087" s="6" t="str">
        <f t="shared" si="34"/>
        <v/>
      </c>
    </row>
    <row r="2088" spans="22:22" x14ac:dyDescent="0.25">
      <c r="V2088" s="6" t="str">
        <f t="shared" si="34"/>
        <v/>
      </c>
    </row>
    <row r="2089" spans="22:22" x14ac:dyDescent="0.25">
      <c r="V2089" s="6" t="str">
        <f t="shared" si="34"/>
        <v/>
      </c>
    </row>
    <row r="2090" spans="22:22" x14ac:dyDescent="0.25">
      <c r="V2090" s="6" t="str">
        <f t="shared" si="34"/>
        <v/>
      </c>
    </row>
    <row r="2091" spans="22:22" x14ac:dyDescent="0.25">
      <c r="V2091" s="6" t="str">
        <f t="shared" si="34"/>
        <v/>
      </c>
    </row>
    <row r="2092" spans="22:22" x14ac:dyDescent="0.25">
      <c r="V2092" s="6" t="str">
        <f t="shared" si="34"/>
        <v/>
      </c>
    </row>
    <row r="2093" spans="22:22" x14ac:dyDescent="0.25">
      <c r="V2093" s="6" t="str">
        <f t="shared" si="34"/>
        <v/>
      </c>
    </row>
    <row r="2094" spans="22:22" x14ac:dyDescent="0.25">
      <c r="V2094" s="6" t="str">
        <f t="shared" si="34"/>
        <v/>
      </c>
    </row>
    <row r="2095" spans="22:22" x14ac:dyDescent="0.25">
      <c r="V2095" s="6" t="str">
        <f t="shared" si="34"/>
        <v/>
      </c>
    </row>
    <row r="2096" spans="22:22" x14ac:dyDescent="0.25">
      <c r="V2096" s="6" t="str">
        <f t="shared" ref="V2096:V2159" si="35">IFERROR(DATEVALUE(D2096),"")</f>
        <v/>
      </c>
    </row>
    <row r="2097" spans="22:22" x14ac:dyDescent="0.25">
      <c r="V2097" s="6" t="str">
        <f t="shared" si="35"/>
        <v/>
      </c>
    </row>
    <row r="2098" spans="22:22" x14ac:dyDescent="0.25">
      <c r="V2098" s="6" t="str">
        <f t="shared" si="35"/>
        <v/>
      </c>
    </row>
    <row r="2099" spans="22:22" x14ac:dyDescent="0.25">
      <c r="V2099" s="6" t="str">
        <f t="shared" si="35"/>
        <v/>
      </c>
    </row>
    <row r="2100" spans="22:22" x14ac:dyDescent="0.25">
      <c r="V2100" s="6" t="str">
        <f t="shared" si="35"/>
        <v/>
      </c>
    </row>
    <row r="2101" spans="22:22" x14ac:dyDescent="0.25">
      <c r="V2101" s="6" t="str">
        <f t="shared" si="35"/>
        <v/>
      </c>
    </row>
    <row r="2102" spans="22:22" x14ac:dyDescent="0.25">
      <c r="V2102" s="6" t="str">
        <f t="shared" si="35"/>
        <v/>
      </c>
    </row>
    <row r="2103" spans="22:22" x14ac:dyDescent="0.25">
      <c r="V2103" s="6" t="str">
        <f t="shared" si="35"/>
        <v/>
      </c>
    </row>
    <row r="2104" spans="22:22" x14ac:dyDescent="0.25">
      <c r="V2104" s="6" t="str">
        <f t="shared" si="35"/>
        <v/>
      </c>
    </row>
    <row r="2105" spans="22:22" x14ac:dyDescent="0.25">
      <c r="V2105" s="6" t="str">
        <f t="shared" si="35"/>
        <v/>
      </c>
    </row>
    <row r="2106" spans="22:22" x14ac:dyDescent="0.25">
      <c r="V2106" s="6" t="str">
        <f t="shared" si="35"/>
        <v/>
      </c>
    </row>
    <row r="2107" spans="22:22" x14ac:dyDescent="0.25">
      <c r="V2107" s="6" t="str">
        <f t="shared" si="35"/>
        <v/>
      </c>
    </row>
    <row r="2108" spans="22:22" x14ac:dyDescent="0.25">
      <c r="V2108" s="6" t="str">
        <f t="shared" si="35"/>
        <v/>
      </c>
    </row>
    <row r="2109" spans="22:22" x14ac:dyDescent="0.25">
      <c r="V2109" s="6" t="str">
        <f t="shared" si="35"/>
        <v/>
      </c>
    </row>
    <row r="2110" spans="22:22" x14ac:dyDescent="0.25">
      <c r="V2110" s="6" t="str">
        <f t="shared" si="35"/>
        <v/>
      </c>
    </row>
    <row r="2111" spans="22:22" x14ac:dyDescent="0.25">
      <c r="V2111" s="6" t="str">
        <f t="shared" si="35"/>
        <v/>
      </c>
    </row>
    <row r="2112" spans="22:22" x14ac:dyDescent="0.25">
      <c r="V2112" s="6" t="str">
        <f t="shared" si="35"/>
        <v/>
      </c>
    </row>
    <row r="2113" spans="22:22" x14ac:dyDescent="0.25">
      <c r="V2113" s="6" t="str">
        <f t="shared" si="35"/>
        <v/>
      </c>
    </row>
    <row r="2114" spans="22:22" x14ac:dyDescent="0.25">
      <c r="V2114" s="6" t="str">
        <f t="shared" si="35"/>
        <v/>
      </c>
    </row>
    <row r="2115" spans="22:22" x14ac:dyDescent="0.25">
      <c r="V2115" s="6" t="str">
        <f t="shared" si="35"/>
        <v/>
      </c>
    </row>
    <row r="2116" spans="22:22" x14ac:dyDescent="0.25">
      <c r="V2116" s="6" t="str">
        <f t="shared" si="35"/>
        <v/>
      </c>
    </row>
    <row r="2117" spans="22:22" x14ac:dyDescent="0.25">
      <c r="V2117" s="6" t="str">
        <f t="shared" si="35"/>
        <v/>
      </c>
    </row>
    <row r="2118" spans="22:22" x14ac:dyDescent="0.25">
      <c r="V2118" s="6" t="str">
        <f t="shared" si="35"/>
        <v/>
      </c>
    </row>
    <row r="2119" spans="22:22" x14ac:dyDescent="0.25">
      <c r="V2119" s="6" t="str">
        <f t="shared" si="35"/>
        <v/>
      </c>
    </row>
    <row r="2120" spans="22:22" x14ac:dyDescent="0.25">
      <c r="V2120" s="6" t="str">
        <f t="shared" si="35"/>
        <v/>
      </c>
    </row>
    <row r="2121" spans="22:22" x14ac:dyDescent="0.25">
      <c r="V2121" s="6" t="str">
        <f t="shared" si="35"/>
        <v/>
      </c>
    </row>
    <row r="2122" spans="22:22" x14ac:dyDescent="0.25">
      <c r="V2122" s="6" t="str">
        <f t="shared" si="35"/>
        <v/>
      </c>
    </row>
    <row r="2123" spans="22:22" x14ac:dyDescent="0.25">
      <c r="V2123" s="6" t="str">
        <f t="shared" si="35"/>
        <v/>
      </c>
    </row>
    <row r="2124" spans="22:22" x14ac:dyDescent="0.25">
      <c r="V2124" s="6" t="str">
        <f t="shared" si="35"/>
        <v/>
      </c>
    </row>
    <row r="2125" spans="22:22" x14ac:dyDescent="0.25">
      <c r="V2125" s="6" t="str">
        <f t="shared" si="35"/>
        <v/>
      </c>
    </row>
    <row r="2126" spans="22:22" x14ac:dyDescent="0.25">
      <c r="V2126" s="6" t="str">
        <f t="shared" si="35"/>
        <v/>
      </c>
    </row>
    <row r="2127" spans="22:22" x14ac:dyDescent="0.25">
      <c r="V2127" s="6" t="str">
        <f t="shared" si="35"/>
        <v/>
      </c>
    </row>
    <row r="2128" spans="22:22" x14ac:dyDescent="0.25">
      <c r="V2128" s="6" t="str">
        <f t="shared" si="35"/>
        <v/>
      </c>
    </row>
    <row r="2129" spans="22:22" x14ac:dyDescent="0.25">
      <c r="V2129" s="6" t="str">
        <f t="shared" si="35"/>
        <v/>
      </c>
    </row>
    <row r="2130" spans="22:22" x14ac:dyDescent="0.25">
      <c r="V2130" s="6" t="str">
        <f t="shared" si="35"/>
        <v/>
      </c>
    </row>
    <row r="2131" spans="22:22" x14ac:dyDescent="0.25">
      <c r="V2131" s="6" t="str">
        <f t="shared" si="35"/>
        <v/>
      </c>
    </row>
    <row r="2132" spans="22:22" x14ac:dyDescent="0.25">
      <c r="V2132" s="6" t="str">
        <f t="shared" si="35"/>
        <v/>
      </c>
    </row>
    <row r="2133" spans="22:22" x14ac:dyDescent="0.25">
      <c r="V2133" s="6" t="str">
        <f t="shared" si="35"/>
        <v/>
      </c>
    </row>
    <row r="2134" spans="22:22" x14ac:dyDescent="0.25">
      <c r="V2134" s="6" t="str">
        <f t="shared" si="35"/>
        <v/>
      </c>
    </row>
    <row r="2135" spans="22:22" x14ac:dyDescent="0.25">
      <c r="V2135" s="6" t="str">
        <f t="shared" si="35"/>
        <v/>
      </c>
    </row>
    <row r="2136" spans="22:22" x14ac:dyDescent="0.25">
      <c r="V2136" s="6" t="str">
        <f t="shared" si="35"/>
        <v/>
      </c>
    </row>
    <row r="2137" spans="22:22" x14ac:dyDescent="0.25">
      <c r="V2137" s="6" t="str">
        <f t="shared" si="35"/>
        <v/>
      </c>
    </row>
    <row r="2138" spans="22:22" x14ac:dyDescent="0.25">
      <c r="V2138" s="6" t="str">
        <f t="shared" si="35"/>
        <v/>
      </c>
    </row>
    <row r="2139" spans="22:22" x14ac:dyDescent="0.25">
      <c r="V2139" s="6" t="str">
        <f t="shared" si="35"/>
        <v/>
      </c>
    </row>
    <row r="2140" spans="22:22" x14ac:dyDescent="0.25">
      <c r="V2140" s="6" t="str">
        <f t="shared" si="35"/>
        <v/>
      </c>
    </row>
    <row r="2141" spans="22:22" x14ac:dyDescent="0.25">
      <c r="V2141" s="6" t="str">
        <f t="shared" si="35"/>
        <v/>
      </c>
    </row>
    <row r="2142" spans="22:22" x14ac:dyDescent="0.25">
      <c r="V2142" s="6" t="str">
        <f t="shared" si="35"/>
        <v/>
      </c>
    </row>
    <row r="2143" spans="22:22" x14ac:dyDescent="0.25">
      <c r="V2143" s="6" t="str">
        <f t="shared" si="35"/>
        <v/>
      </c>
    </row>
    <row r="2144" spans="22:22" x14ac:dyDescent="0.25">
      <c r="V2144" s="6" t="str">
        <f t="shared" si="35"/>
        <v/>
      </c>
    </row>
    <row r="2145" spans="22:22" x14ac:dyDescent="0.25">
      <c r="V2145" s="6" t="str">
        <f t="shared" si="35"/>
        <v/>
      </c>
    </row>
    <row r="2146" spans="22:22" x14ac:dyDescent="0.25">
      <c r="V2146" s="6" t="str">
        <f t="shared" si="35"/>
        <v/>
      </c>
    </row>
    <row r="2147" spans="22:22" x14ac:dyDescent="0.25">
      <c r="V2147" s="6" t="str">
        <f t="shared" si="35"/>
        <v/>
      </c>
    </row>
    <row r="2148" spans="22:22" x14ac:dyDescent="0.25">
      <c r="V2148" s="6" t="str">
        <f t="shared" si="35"/>
        <v/>
      </c>
    </row>
    <row r="2149" spans="22:22" x14ac:dyDescent="0.25">
      <c r="V2149" s="6" t="str">
        <f t="shared" si="35"/>
        <v/>
      </c>
    </row>
    <row r="2150" spans="22:22" x14ac:dyDescent="0.25">
      <c r="V2150" s="6" t="str">
        <f t="shared" si="35"/>
        <v/>
      </c>
    </row>
    <row r="2151" spans="22:22" x14ac:dyDescent="0.25">
      <c r="V2151" s="6" t="str">
        <f t="shared" si="35"/>
        <v/>
      </c>
    </row>
    <row r="2152" spans="22:22" x14ac:dyDescent="0.25">
      <c r="V2152" s="6" t="str">
        <f t="shared" si="35"/>
        <v/>
      </c>
    </row>
    <row r="2153" spans="22:22" x14ac:dyDescent="0.25">
      <c r="V2153" s="6" t="str">
        <f t="shared" si="35"/>
        <v/>
      </c>
    </row>
    <row r="2154" spans="22:22" x14ac:dyDescent="0.25">
      <c r="V2154" s="6" t="str">
        <f t="shared" si="35"/>
        <v/>
      </c>
    </row>
    <row r="2155" spans="22:22" x14ac:dyDescent="0.25">
      <c r="V2155" s="6" t="str">
        <f t="shared" si="35"/>
        <v/>
      </c>
    </row>
    <row r="2156" spans="22:22" x14ac:dyDescent="0.25">
      <c r="V2156" s="6" t="str">
        <f t="shared" si="35"/>
        <v/>
      </c>
    </row>
    <row r="2157" spans="22:22" x14ac:dyDescent="0.25">
      <c r="V2157" s="6" t="str">
        <f t="shared" si="35"/>
        <v/>
      </c>
    </row>
    <row r="2158" spans="22:22" x14ac:dyDescent="0.25">
      <c r="V2158" s="6" t="str">
        <f t="shared" si="35"/>
        <v/>
      </c>
    </row>
    <row r="2159" spans="22:22" x14ac:dyDescent="0.25">
      <c r="V2159" s="6" t="str">
        <f t="shared" si="35"/>
        <v/>
      </c>
    </row>
    <row r="2160" spans="22:22" x14ac:dyDescent="0.25">
      <c r="V2160" s="6" t="str">
        <f t="shared" ref="V2160:V2223" si="36">IFERROR(DATEVALUE(D2160),"")</f>
        <v/>
      </c>
    </row>
    <row r="2161" spans="22:22" x14ac:dyDescent="0.25">
      <c r="V2161" s="6" t="str">
        <f t="shared" si="36"/>
        <v/>
      </c>
    </row>
    <row r="2162" spans="22:22" x14ac:dyDescent="0.25">
      <c r="V2162" s="6" t="str">
        <f t="shared" si="36"/>
        <v/>
      </c>
    </row>
    <row r="2163" spans="22:22" x14ac:dyDescent="0.25">
      <c r="V2163" s="6" t="str">
        <f t="shared" si="36"/>
        <v/>
      </c>
    </row>
    <row r="2164" spans="22:22" x14ac:dyDescent="0.25">
      <c r="V2164" s="6" t="str">
        <f t="shared" si="36"/>
        <v/>
      </c>
    </row>
    <row r="2165" spans="22:22" x14ac:dyDescent="0.25">
      <c r="V2165" s="6" t="str">
        <f t="shared" si="36"/>
        <v/>
      </c>
    </row>
    <row r="2166" spans="22:22" x14ac:dyDescent="0.25">
      <c r="V2166" s="6" t="str">
        <f t="shared" si="36"/>
        <v/>
      </c>
    </row>
    <row r="2167" spans="22:22" x14ac:dyDescent="0.25">
      <c r="V2167" s="6" t="str">
        <f t="shared" si="36"/>
        <v/>
      </c>
    </row>
    <row r="2168" spans="22:22" x14ac:dyDescent="0.25">
      <c r="V2168" s="6" t="str">
        <f t="shared" si="36"/>
        <v/>
      </c>
    </row>
    <row r="2169" spans="22:22" x14ac:dyDescent="0.25">
      <c r="V2169" s="6" t="str">
        <f t="shared" si="36"/>
        <v/>
      </c>
    </row>
    <row r="2170" spans="22:22" x14ac:dyDescent="0.25">
      <c r="V2170" s="6" t="str">
        <f t="shared" si="36"/>
        <v/>
      </c>
    </row>
    <row r="2171" spans="22:22" x14ac:dyDescent="0.25">
      <c r="V2171" s="6" t="str">
        <f t="shared" si="36"/>
        <v/>
      </c>
    </row>
    <row r="2172" spans="22:22" x14ac:dyDescent="0.25">
      <c r="V2172" s="6" t="str">
        <f t="shared" si="36"/>
        <v/>
      </c>
    </row>
    <row r="2173" spans="22:22" x14ac:dyDescent="0.25">
      <c r="V2173" s="6" t="str">
        <f t="shared" si="36"/>
        <v/>
      </c>
    </row>
    <row r="2174" spans="22:22" x14ac:dyDescent="0.25">
      <c r="V2174" s="6" t="str">
        <f t="shared" si="36"/>
        <v/>
      </c>
    </row>
    <row r="2175" spans="22:22" x14ac:dyDescent="0.25">
      <c r="V2175" s="6" t="str">
        <f t="shared" si="36"/>
        <v/>
      </c>
    </row>
    <row r="2176" spans="22:22" x14ac:dyDescent="0.25">
      <c r="V2176" s="6" t="str">
        <f t="shared" si="36"/>
        <v/>
      </c>
    </row>
    <row r="2177" spans="22:22" x14ac:dyDescent="0.25">
      <c r="V2177" s="6" t="str">
        <f t="shared" si="36"/>
        <v/>
      </c>
    </row>
    <row r="2178" spans="22:22" x14ac:dyDescent="0.25">
      <c r="V2178" s="6" t="str">
        <f t="shared" si="36"/>
        <v/>
      </c>
    </row>
    <row r="2179" spans="22:22" x14ac:dyDescent="0.25">
      <c r="V2179" s="6" t="str">
        <f t="shared" si="36"/>
        <v/>
      </c>
    </row>
    <row r="2180" spans="22:22" x14ac:dyDescent="0.25">
      <c r="V2180" s="6" t="str">
        <f t="shared" si="36"/>
        <v/>
      </c>
    </row>
    <row r="2181" spans="22:22" x14ac:dyDescent="0.25">
      <c r="V2181" s="6" t="str">
        <f t="shared" si="36"/>
        <v/>
      </c>
    </row>
    <row r="2182" spans="22:22" x14ac:dyDescent="0.25">
      <c r="V2182" s="6" t="str">
        <f t="shared" si="36"/>
        <v/>
      </c>
    </row>
    <row r="2183" spans="22:22" x14ac:dyDescent="0.25">
      <c r="V2183" s="6" t="str">
        <f t="shared" si="36"/>
        <v/>
      </c>
    </row>
    <row r="2184" spans="22:22" x14ac:dyDescent="0.25">
      <c r="V2184" s="6" t="str">
        <f t="shared" si="36"/>
        <v/>
      </c>
    </row>
    <row r="2185" spans="22:22" x14ac:dyDescent="0.25">
      <c r="V2185" s="6" t="str">
        <f t="shared" si="36"/>
        <v/>
      </c>
    </row>
    <row r="2186" spans="22:22" x14ac:dyDescent="0.25">
      <c r="V2186" s="6" t="str">
        <f t="shared" si="36"/>
        <v/>
      </c>
    </row>
    <row r="2187" spans="22:22" x14ac:dyDescent="0.25">
      <c r="V2187" s="6" t="str">
        <f t="shared" si="36"/>
        <v/>
      </c>
    </row>
    <row r="2188" spans="22:22" x14ac:dyDescent="0.25">
      <c r="V2188" s="6" t="str">
        <f t="shared" si="36"/>
        <v/>
      </c>
    </row>
    <row r="2189" spans="22:22" x14ac:dyDescent="0.25">
      <c r="V2189" s="6" t="str">
        <f t="shared" si="36"/>
        <v/>
      </c>
    </row>
    <row r="2190" spans="22:22" x14ac:dyDescent="0.25">
      <c r="V2190" s="6" t="str">
        <f t="shared" si="36"/>
        <v/>
      </c>
    </row>
    <row r="2191" spans="22:22" x14ac:dyDescent="0.25">
      <c r="V2191" s="6" t="str">
        <f t="shared" si="36"/>
        <v/>
      </c>
    </row>
    <row r="2192" spans="22:22" x14ac:dyDescent="0.25">
      <c r="V2192" s="6" t="str">
        <f t="shared" si="36"/>
        <v/>
      </c>
    </row>
    <row r="2193" spans="22:22" x14ac:dyDescent="0.25">
      <c r="V2193" s="6" t="str">
        <f t="shared" si="36"/>
        <v/>
      </c>
    </row>
    <row r="2194" spans="22:22" x14ac:dyDescent="0.25">
      <c r="V2194" s="6" t="str">
        <f t="shared" si="36"/>
        <v/>
      </c>
    </row>
    <row r="2195" spans="22:22" x14ac:dyDescent="0.25">
      <c r="V2195" s="6" t="str">
        <f t="shared" si="36"/>
        <v/>
      </c>
    </row>
    <row r="2196" spans="22:22" x14ac:dyDescent="0.25">
      <c r="V2196" s="6" t="str">
        <f t="shared" si="36"/>
        <v/>
      </c>
    </row>
    <row r="2197" spans="22:22" x14ac:dyDescent="0.25">
      <c r="V2197" s="6" t="str">
        <f t="shared" si="36"/>
        <v/>
      </c>
    </row>
    <row r="2198" spans="22:22" x14ac:dyDescent="0.25">
      <c r="V2198" s="6" t="str">
        <f t="shared" si="36"/>
        <v/>
      </c>
    </row>
    <row r="2199" spans="22:22" x14ac:dyDescent="0.25">
      <c r="V2199" s="6" t="str">
        <f t="shared" si="36"/>
        <v/>
      </c>
    </row>
    <row r="2200" spans="22:22" x14ac:dyDescent="0.25">
      <c r="V2200" s="6" t="str">
        <f t="shared" si="36"/>
        <v/>
      </c>
    </row>
    <row r="2201" spans="22:22" x14ac:dyDescent="0.25">
      <c r="V2201" s="6" t="str">
        <f t="shared" si="36"/>
        <v/>
      </c>
    </row>
    <row r="2202" spans="22:22" x14ac:dyDescent="0.25">
      <c r="V2202" s="6" t="str">
        <f t="shared" si="36"/>
        <v/>
      </c>
    </row>
    <row r="2203" spans="22:22" x14ac:dyDescent="0.25">
      <c r="V2203" s="6" t="str">
        <f t="shared" si="36"/>
        <v/>
      </c>
    </row>
    <row r="2204" spans="22:22" x14ac:dyDescent="0.25">
      <c r="V2204" s="6" t="str">
        <f t="shared" si="36"/>
        <v/>
      </c>
    </row>
    <row r="2205" spans="22:22" x14ac:dyDescent="0.25">
      <c r="V2205" s="6" t="str">
        <f t="shared" si="36"/>
        <v/>
      </c>
    </row>
    <row r="2206" spans="22:22" x14ac:dyDescent="0.25">
      <c r="V2206" s="6" t="str">
        <f t="shared" si="36"/>
        <v/>
      </c>
    </row>
    <row r="2207" spans="22:22" x14ac:dyDescent="0.25">
      <c r="V2207" s="6" t="str">
        <f t="shared" si="36"/>
        <v/>
      </c>
    </row>
    <row r="2208" spans="22:22" x14ac:dyDescent="0.25">
      <c r="V2208" s="6" t="str">
        <f t="shared" si="36"/>
        <v/>
      </c>
    </row>
    <row r="2209" spans="22:22" x14ac:dyDescent="0.25">
      <c r="V2209" s="6" t="str">
        <f t="shared" si="36"/>
        <v/>
      </c>
    </row>
    <row r="2210" spans="22:22" x14ac:dyDescent="0.25">
      <c r="V2210" s="6" t="str">
        <f t="shared" si="36"/>
        <v/>
      </c>
    </row>
    <row r="2211" spans="22:22" x14ac:dyDescent="0.25">
      <c r="V2211" s="6" t="str">
        <f t="shared" si="36"/>
        <v/>
      </c>
    </row>
    <row r="2212" spans="22:22" x14ac:dyDescent="0.25">
      <c r="V2212" s="6" t="str">
        <f t="shared" si="36"/>
        <v/>
      </c>
    </row>
    <row r="2213" spans="22:22" x14ac:dyDescent="0.25">
      <c r="V2213" s="6" t="str">
        <f t="shared" si="36"/>
        <v/>
      </c>
    </row>
    <row r="2214" spans="22:22" x14ac:dyDescent="0.25">
      <c r="V2214" s="6" t="str">
        <f t="shared" si="36"/>
        <v/>
      </c>
    </row>
    <row r="2215" spans="22:22" x14ac:dyDescent="0.25">
      <c r="V2215" s="6" t="str">
        <f t="shared" si="36"/>
        <v/>
      </c>
    </row>
    <row r="2216" spans="22:22" x14ac:dyDescent="0.25">
      <c r="V2216" s="6" t="str">
        <f t="shared" si="36"/>
        <v/>
      </c>
    </row>
    <row r="2217" spans="22:22" x14ac:dyDescent="0.25">
      <c r="V2217" s="6" t="str">
        <f t="shared" si="36"/>
        <v/>
      </c>
    </row>
    <row r="2218" spans="22:22" x14ac:dyDescent="0.25">
      <c r="V2218" s="6" t="str">
        <f t="shared" si="36"/>
        <v/>
      </c>
    </row>
    <row r="2219" spans="22:22" x14ac:dyDescent="0.25">
      <c r="V2219" s="6" t="str">
        <f t="shared" si="36"/>
        <v/>
      </c>
    </row>
    <row r="2220" spans="22:22" x14ac:dyDescent="0.25">
      <c r="V2220" s="6" t="str">
        <f t="shared" si="36"/>
        <v/>
      </c>
    </row>
    <row r="2221" spans="22:22" x14ac:dyDescent="0.25">
      <c r="V2221" s="6" t="str">
        <f t="shared" si="36"/>
        <v/>
      </c>
    </row>
    <row r="2222" spans="22:22" x14ac:dyDescent="0.25">
      <c r="V2222" s="6" t="str">
        <f t="shared" si="36"/>
        <v/>
      </c>
    </row>
    <row r="2223" spans="22:22" x14ac:dyDescent="0.25">
      <c r="V2223" s="6" t="str">
        <f t="shared" si="36"/>
        <v/>
      </c>
    </row>
    <row r="2224" spans="22:22" x14ac:dyDescent="0.25">
      <c r="V2224" s="6" t="str">
        <f t="shared" ref="V2224:V2287" si="37">IFERROR(DATEVALUE(D2224),"")</f>
        <v/>
      </c>
    </row>
    <row r="2225" spans="22:22" x14ac:dyDescent="0.25">
      <c r="V2225" s="6" t="str">
        <f t="shared" si="37"/>
        <v/>
      </c>
    </row>
    <row r="2226" spans="22:22" x14ac:dyDescent="0.25">
      <c r="V2226" s="6" t="str">
        <f t="shared" si="37"/>
        <v/>
      </c>
    </row>
    <row r="2227" spans="22:22" x14ac:dyDescent="0.25">
      <c r="V2227" s="6" t="str">
        <f t="shared" si="37"/>
        <v/>
      </c>
    </row>
    <row r="2228" spans="22:22" x14ac:dyDescent="0.25">
      <c r="V2228" s="6" t="str">
        <f t="shared" si="37"/>
        <v/>
      </c>
    </row>
    <row r="2229" spans="22:22" x14ac:dyDescent="0.25">
      <c r="V2229" s="6" t="str">
        <f t="shared" si="37"/>
        <v/>
      </c>
    </row>
    <row r="2230" spans="22:22" x14ac:dyDescent="0.25">
      <c r="V2230" s="6" t="str">
        <f t="shared" si="37"/>
        <v/>
      </c>
    </row>
    <row r="2231" spans="22:22" x14ac:dyDescent="0.25">
      <c r="V2231" s="6" t="str">
        <f t="shared" si="37"/>
        <v/>
      </c>
    </row>
    <row r="2232" spans="22:22" x14ac:dyDescent="0.25">
      <c r="V2232" s="6" t="str">
        <f t="shared" si="37"/>
        <v/>
      </c>
    </row>
    <row r="2233" spans="22:22" x14ac:dyDescent="0.25">
      <c r="V2233" s="6" t="str">
        <f t="shared" si="37"/>
        <v/>
      </c>
    </row>
    <row r="2234" spans="22:22" x14ac:dyDescent="0.25">
      <c r="V2234" s="6" t="str">
        <f t="shared" si="37"/>
        <v/>
      </c>
    </row>
    <row r="2235" spans="22:22" x14ac:dyDescent="0.25">
      <c r="V2235" s="6" t="str">
        <f t="shared" si="37"/>
        <v/>
      </c>
    </row>
    <row r="2236" spans="22:22" x14ac:dyDescent="0.25">
      <c r="V2236" s="6" t="str">
        <f t="shared" si="37"/>
        <v/>
      </c>
    </row>
    <row r="2237" spans="22:22" x14ac:dyDescent="0.25">
      <c r="V2237" s="6" t="str">
        <f t="shared" si="37"/>
        <v/>
      </c>
    </row>
    <row r="2238" spans="22:22" x14ac:dyDescent="0.25">
      <c r="V2238" s="6" t="str">
        <f t="shared" si="37"/>
        <v/>
      </c>
    </row>
    <row r="2239" spans="22:22" x14ac:dyDescent="0.25">
      <c r="V2239" s="6" t="str">
        <f t="shared" si="37"/>
        <v/>
      </c>
    </row>
    <row r="2240" spans="22:22" x14ac:dyDescent="0.25">
      <c r="V2240" s="6" t="str">
        <f t="shared" si="37"/>
        <v/>
      </c>
    </row>
    <row r="2241" spans="22:22" x14ac:dyDescent="0.25">
      <c r="V2241" s="6" t="str">
        <f t="shared" si="37"/>
        <v/>
      </c>
    </row>
    <row r="2242" spans="22:22" x14ac:dyDescent="0.25">
      <c r="V2242" s="6" t="str">
        <f t="shared" si="37"/>
        <v/>
      </c>
    </row>
    <row r="2243" spans="22:22" x14ac:dyDescent="0.25">
      <c r="V2243" s="6" t="str">
        <f t="shared" si="37"/>
        <v/>
      </c>
    </row>
    <row r="2244" spans="22:22" x14ac:dyDescent="0.25">
      <c r="V2244" s="6" t="str">
        <f t="shared" si="37"/>
        <v/>
      </c>
    </row>
    <row r="2245" spans="22:22" x14ac:dyDescent="0.25">
      <c r="V2245" s="6" t="str">
        <f t="shared" si="37"/>
        <v/>
      </c>
    </row>
    <row r="2246" spans="22:22" x14ac:dyDescent="0.25">
      <c r="V2246" s="6" t="str">
        <f t="shared" si="37"/>
        <v/>
      </c>
    </row>
    <row r="2247" spans="22:22" x14ac:dyDescent="0.25">
      <c r="V2247" s="6" t="str">
        <f t="shared" si="37"/>
        <v/>
      </c>
    </row>
    <row r="2248" spans="22:22" x14ac:dyDescent="0.25">
      <c r="V2248" s="6" t="str">
        <f t="shared" si="37"/>
        <v/>
      </c>
    </row>
    <row r="2249" spans="22:22" x14ac:dyDescent="0.25">
      <c r="V2249" s="6" t="str">
        <f t="shared" si="37"/>
        <v/>
      </c>
    </row>
    <row r="2250" spans="22:22" x14ac:dyDescent="0.25">
      <c r="V2250" s="6" t="str">
        <f t="shared" si="37"/>
        <v/>
      </c>
    </row>
    <row r="2251" spans="22:22" x14ac:dyDescent="0.25">
      <c r="V2251" s="6" t="str">
        <f t="shared" si="37"/>
        <v/>
      </c>
    </row>
    <row r="2252" spans="22:22" x14ac:dyDescent="0.25">
      <c r="V2252" s="6" t="str">
        <f t="shared" si="37"/>
        <v/>
      </c>
    </row>
    <row r="2253" spans="22:22" x14ac:dyDescent="0.25">
      <c r="V2253" s="6" t="str">
        <f t="shared" si="37"/>
        <v/>
      </c>
    </row>
    <row r="2254" spans="22:22" x14ac:dyDescent="0.25">
      <c r="V2254" s="6" t="str">
        <f t="shared" si="37"/>
        <v/>
      </c>
    </row>
    <row r="2255" spans="22:22" x14ac:dyDescent="0.25">
      <c r="V2255" s="6" t="str">
        <f t="shared" si="37"/>
        <v/>
      </c>
    </row>
    <row r="2256" spans="22:22" x14ac:dyDescent="0.25">
      <c r="V2256" s="6" t="str">
        <f t="shared" si="37"/>
        <v/>
      </c>
    </row>
    <row r="2257" spans="22:22" x14ac:dyDescent="0.25">
      <c r="V2257" s="6" t="str">
        <f t="shared" si="37"/>
        <v/>
      </c>
    </row>
    <row r="2258" spans="22:22" x14ac:dyDescent="0.25">
      <c r="V2258" s="6" t="str">
        <f t="shared" si="37"/>
        <v/>
      </c>
    </row>
    <row r="2259" spans="22:22" x14ac:dyDescent="0.25">
      <c r="V2259" s="6" t="str">
        <f t="shared" si="37"/>
        <v/>
      </c>
    </row>
    <row r="2260" spans="22:22" x14ac:dyDescent="0.25">
      <c r="V2260" s="6" t="str">
        <f t="shared" si="37"/>
        <v/>
      </c>
    </row>
    <row r="2261" spans="22:22" x14ac:dyDescent="0.25">
      <c r="V2261" s="6" t="str">
        <f t="shared" si="37"/>
        <v/>
      </c>
    </row>
    <row r="2262" spans="22:22" x14ac:dyDescent="0.25">
      <c r="V2262" s="6" t="str">
        <f t="shared" si="37"/>
        <v/>
      </c>
    </row>
    <row r="2263" spans="22:22" x14ac:dyDescent="0.25">
      <c r="V2263" s="6" t="str">
        <f t="shared" si="37"/>
        <v/>
      </c>
    </row>
    <row r="2264" spans="22:22" x14ac:dyDescent="0.25">
      <c r="V2264" s="6" t="str">
        <f t="shared" si="37"/>
        <v/>
      </c>
    </row>
    <row r="2265" spans="22:22" x14ac:dyDescent="0.25">
      <c r="V2265" s="6" t="str">
        <f t="shared" si="37"/>
        <v/>
      </c>
    </row>
    <row r="2266" spans="22:22" x14ac:dyDescent="0.25">
      <c r="V2266" s="6" t="str">
        <f t="shared" si="37"/>
        <v/>
      </c>
    </row>
    <row r="2267" spans="22:22" x14ac:dyDescent="0.25">
      <c r="V2267" s="6" t="str">
        <f t="shared" si="37"/>
        <v/>
      </c>
    </row>
    <row r="2268" spans="22:22" x14ac:dyDescent="0.25">
      <c r="V2268" s="6" t="str">
        <f t="shared" si="37"/>
        <v/>
      </c>
    </row>
    <row r="2269" spans="22:22" x14ac:dyDescent="0.25">
      <c r="V2269" s="6" t="str">
        <f t="shared" si="37"/>
        <v/>
      </c>
    </row>
    <row r="2270" spans="22:22" x14ac:dyDescent="0.25">
      <c r="V2270" s="6" t="str">
        <f t="shared" si="37"/>
        <v/>
      </c>
    </row>
    <row r="2271" spans="22:22" x14ac:dyDescent="0.25">
      <c r="V2271" s="6" t="str">
        <f t="shared" si="37"/>
        <v/>
      </c>
    </row>
    <row r="2272" spans="22:22" x14ac:dyDescent="0.25">
      <c r="V2272" s="6" t="str">
        <f t="shared" si="37"/>
        <v/>
      </c>
    </row>
    <row r="2273" spans="22:22" x14ac:dyDescent="0.25">
      <c r="V2273" s="6" t="str">
        <f t="shared" si="37"/>
        <v/>
      </c>
    </row>
    <row r="2274" spans="22:22" x14ac:dyDescent="0.25">
      <c r="V2274" s="6" t="str">
        <f t="shared" si="37"/>
        <v/>
      </c>
    </row>
    <row r="2275" spans="22:22" x14ac:dyDescent="0.25">
      <c r="V2275" s="6" t="str">
        <f t="shared" si="37"/>
        <v/>
      </c>
    </row>
    <row r="2276" spans="22:22" x14ac:dyDescent="0.25">
      <c r="V2276" s="6" t="str">
        <f t="shared" si="37"/>
        <v/>
      </c>
    </row>
    <row r="2277" spans="22:22" x14ac:dyDescent="0.25">
      <c r="V2277" s="6" t="str">
        <f t="shared" si="37"/>
        <v/>
      </c>
    </row>
    <row r="2278" spans="22:22" x14ac:dyDescent="0.25">
      <c r="V2278" s="6" t="str">
        <f t="shared" si="37"/>
        <v/>
      </c>
    </row>
    <row r="2279" spans="22:22" x14ac:dyDescent="0.25">
      <c r="V2279" s="6" t="str">
        <f t="shared" si="37"/>
        <v/>
      </c>
    </row>
    <row r="2280" spans="22:22" x14ac:dyDescent="0.25">
      <c r="V2280" s="6" t="str">
        <f t="shared" si="37"/>
        <v/>
      </c>
    </row>
    <row r="2281" spans="22:22" x14ac:dyDescent="0.25">
      <c r="V2281" s="6" t="str">
        <f t="shared" si="37"/>
        <v/>
      </c>
    </row>
    <row r="2282" spans="22:22" x14ac:dyDescent="0.25">
      <c r="V2282" s="6" t="str">
        <f t="shared" si="37"/>
        <v/>
      </c>
    </row>
    <row r="2283" spans="22:22" x14ac:dyDescent="0.25">
      <c r="V2283" s="6" t="str">
        <f t="shared" si="37"/>
        <v/>
      </c>
    </row>
    <row r="2284" spans="22:22" x14ac:dyDescent="0.25">
      <c r="V2284" s="6" t="str">
        <f t="shared" si="37"/>
        <v/>
      </c>
    </row>
    <row r="2285" spans="22:22" x14ac:dyDescent="0.25">
      <c r="V2285" s="6" t="str">
        <f t="shared" si="37"/>
        <v/>
      </c>
    </row>
    <row r="2286" spans="22:22" x14ac:dyDescent="0.25">
      <c r="V2286" s="6" t="str">
        <f t="shared" si="37"/>
        <v/>
      </c>
    </row>
    <row r="2287" spans="22:22" x14ac:dyDescent="0.25">
      <c r="V2287" s="6" t="str">
        <f t="shared" si="37"/>
        <v/>
      </c>
    </row>
    <row r="2288" spans="22:22" x14ac:dyDescent="0.25">
      <c r="V2288" s="6" t="str">
        <f t="shared" ref="V2288:V2351" si="38">IFERROR(DATEVALUE(D2288),"")</f>
        <v/>
      </c>
    </row>
    <row r="2289" spans="22:22" x14ac:dyDescent="0.25">
      <c r="V2289" s="6" t="str">
        <f t="shared" si="38"/>
        <v/>
      </c>
    </row>
    <row r="2290" spans="22:22" x14ac:dyDescent="0.25">
      <c r="V2290" s="6" t="str">
        <f t="shared" si="38"/>
        <v/>
      </c>
    </row>
    <row r="2291" spans="22:22" x14ac:dyDescent="0.25">
      <c r="V2291" s="6" t="str">
        <f t="shared" si="38"/>
        <v/>
      </c>
    </row>
    <row r="2292" spans="22:22" x14ac:dyDescent="0.25">
      <c r="V2292" s="6" t="str">
        <f t="shared" si="38"/>
        <v/>
      </c>
    </row>
    <row r="2293" spans="22:22" x14ac:dyDescent="0.25">
      <c r="V2293" s="6" t="str">
        <f t="shared" si="38"/>
        <v/>
      </c>
    </row>
    <row r="2294" spans="22:22" x14ac:dyDescent="0.25">
      <c r="V2294" s="6" t="str">
        <f t="shared" si="38"/>
        <v/>
      </c>
    </row>
    <row r="2295" spans="22:22" x14ac:dyDescent="0.25">
      <c r="V2295" s="6" t="str">
        <f t="shared" si="38"/>
        <v/>
      </c>
    </row>
    <row r="2296" spans="22:22" x14ac:dyDescent="0.25">
      <c r="V2296" s="6" t="str">
        <f t="shared" si="38"/>
        <v/>
      </c>
    </row>
    <row r="2297" spans="22:22" x14ac:dyDescent="0.25">
      <c r="V2297" s="6" t="str">
        <f t="shared" si="38"/>
        <v/>
      </c>
    </row>
    <row r="2298" spans="22:22" x14ac:dyDescent="0.25">
      <c r="V2298" s="6" t="str">
        <f t="shared" si="38"/>
        <v/>
      </c>
    </row>
    <row r="2299" spans="22:22" x14ac:dyDescent="0.25">
      <c r="V2299" s="6" t="str">
        <f t="shared" si="38"/>
        <v/>
      </c>
    </row>
    <row r="2300" spans="22:22" x14ac:dyDescent="0.25">
      <c r="V2300" s="6" t="str">
        <f t="shared" si="38"/>
        <v/>
      </c>
    </row>
    <row r="2301" spans="22:22" x14ac:dyDescent="0.25">
      <c r="V2301" s="6" t="str">
        <f t="shared" si="38"/>
        <v/>
      </c>
    </row>
    <row r="2302" spans="22:22" x14ac:dyDescent="0.25">
      <c r="V2302" s="6" t="str">
        <f t="shared" si="38"/>
        <v/>
      </c>
    </row>
    <row r="2303" spans="22:22" x14ac:dyDescent="0.25">
      <c r="V2303" s="6" t="str">
        <f t="shared" si="38"/>
        <v/>
      </c>
    </row>
    <row r="2304" spans="22:22" x14ac:dyDescent="0.25">
      <c r="V2304" s="6" t="str">
        <f t="shared" si="38"/>
        <v/>
      </c>
    </row>
    <row r="2305" spans="22:22" x14ac:dyDescent="0.25">
      <c r="V2305" s="6" t="str">
        <f t="shared" si="38"/>
        <v/>
      </c>
    </row>
    <row r="2306" spans="22:22" x14ac:dyDescent="0.25">
      <c r="V2306" s="6" t="str">
        <f t="shared" si="38"/>
        <v/>
      </c>
    </row>
    <row r="2307" spans="22:22" x14ac:dyDescent="0.25">
      <c r="V2307" s="6" t="str">
        <f t="shared" si="38"/>
        <v/>
      </c>
    </row>
    <row r="2308" spans="22:22" x14ac:dyDescent="0.25">
      <c r="V2308" s="6" t="str">
        <f t="shared" si="38"/>
        <v/>
      </c>
    </row>
    <row r="2309" spans="22:22" x14ac:dyDescent="0.25">
      <c r="V2309" s="6" t="str">
        <f t="shared" si="38"/>
        <v/>
      </c>
    </row>
    <row r="2310" spans="22:22" x14ac:dyDescent="0.25">
      <c r="V2310" s="6" t="str">
        <f t="shared" si="38"/>
        <v/>
      </c>
    </row>
    <row r="2311" spans="22:22" x14ac:dyDescent="0.25">
      <c r="V2311" s="6" t="str">
        <f t="shared" si="38"/>
        <v/>
      </c>
    </row>
    <row r="2312" spans="22:22" x14ac:dyDescent="0.25">
      <c r="V2312" s="6" t="str">
        <f t="shared" si="38"/>
        <v/>
      </c>
    </row>
    <row r="2313" spans="22:22" x14ac:dyDescent="0.25">
      <c r="V2313" s="6" t="str">
        <f t="shared" si="38"/>
        <v/>
      </c>
    </row>
    <row r="2314" spans="22:22" x14ac:dyDescent="0.25">
      <c r="V2314" s="6" t="str">
        <f t="shared" si="38"/>
        <v/>
      </c>
    </row>
    <row r="2315" spans="22:22" x14ac:dyDescent="0.25">
      <c r="V2315" s="6" t="str">
        <f t="shared" si="38"/>
        <v/>
      </c>
    </row>
    <row r="2316" spans="22:22" x14ac:dyDescent="0.25">
      <c r="V2316" s="6" t="str">
        <f t="shared" si="38"/>
        <v/>
      </c>
    </row>
    <row r="2317" spans="22:22" x14ac:dyDescent="0.25">
      <c r="V2317" s="6" t="str">
        <f t="shared" si="38"/>
        <v/>
      </c>
    </row>
    <row r="2318" spans="22:22" x14ac:dyDescent="0.25">
      <c r="V2318" s="6" t="str">
        <f t="shared" si="38"/>
        <v/>
      </c>
    </row>
    <row r="2319" spans="22:22" x14ac:dyDescent="0.25">
      <c r="V2319" s="6" t="str">
        <f t="shared" si="38"/>
        <v/>
      </c>
    </row>
    <row r="2320" spans="22:22" x14ac:dyDescent="0.25">
      <c r="V2320" s="6" t="str">
        <f t="shared" si="38"/>
        <v/>
      </c>
    </row>
    <row r="2321" spans="22:22" x14ac:dyDescent="0.25">
      <c r="V2321" s="6" t="str">
        <f t="shared" si="38"/>
        <v/>
      </c>
    </row>
    <row r="2322" spans="22:22" x14ac:dyDescent="0.25">
      <c r="V2322" s="6" t="str">
        <f t="shared" si="38"/>
        <v/>
      </c>
    </row>
    <row r="2323" spans="22:22" x14ac:dyDescent="0.25">
      <c r="V2323" s="6" t="str">
        <f t="shared" si="38"/>
        <v/>
      </c>
    </row>
    <row r="2324" spans="22:22" x14ac:dyDescent="0.25">
      <c r="V2324" s="6" t="str">
        <f t="shared" si="38"/>
        <v/>
      </c>
    </row>
    <row r="2325" spans="22:22" x14ac:dyDescent="0.25">
      <c r="V2325" s="6" t="str">
        <f t="shared" si="38"/>
        <v/>
      </c>
    </row>
    <row r="2326" spans="22:22" x14ac:dyDescent="0.25">
      <c r="V2326" s="6" t="str">
        <f t="shared" si="38"/>
        <v/>
      </c>
    </row>
    <row r="2327" spans="22:22" x14ac:dyDescent="0.25">
      <c r="V2327" s="6" t="str">
        <f t="shared" si="38"/>
        <v/>
      </c>
    </row>
    <row r="2328" spans="22:22" x14ac:dyDescent="0.25">
      <c r="V2328" s="6" t="str">
        <f t="shared" si="38"/>
        <v/>
      </c>
    </row>
    <row r="2329" spans="22:22" x14ac:dyDescent="0.25">
      <c r="V2329" s="6" t="str">
        <f t="shared" si="38"/>
        <v/>
      </c>
    </row>
    <row r="2330" spans="22:22" x14ac:dyDescent="0.25">
      <c r="V2330" s="6" t="str">
        <f t="shared" si="38"/>
        <v/>
      </c>
    </row>
    <row r="2331" spans="22:22" x14ac:dyDescent="0.25">
      <c r="V2331" s="6" t="str">
        <f t="shared" si="38"/>
        <v/>
      </c>
    </row>
    <row r="2332" spans="22:22" x14ac:dyDescent="0.25">
      <c r="V2332" s="6" t="str">
        <f t="shared" si="38"/>
        <v/>
      </c>
    </row>
    <row r="2333" spans="22:22" x14ac:dyDescent="0.25">
      <c r="V2333" s="6" t="str">
        <f t="shared" si="38"/>
        <v/>
      </c>
    </row>
    <row r="2334" spans="22:22" x14ac:dyDescent="0.25">
      <c r="V2334" s="6" t="str">
        <f t="shared" si="38"/>
        <v/>
      </c>
    </row>
    <row r="2335" spans="22:22" x14ac:dyDescent="0.25">
      <c r="V2335" s="6" t="str">
        <f t="shared" si="38"/>
        <v/>
      </c>
    </row>
    <row r="2336" spans="22:22" x14ac:dyDescent="0.25">
      <c r="V2336" s="6" t="str">
        <f t="shared" si="38"/>
        <v/>
      </c>
    </row>
    <row r="2337" spans="22:22" x14ac:dyDescent="0.25">
      <c r="V2337" s="6" t="str">
        <f t="shared" si="38"/>
        <v/>
      </c>
    </row>
    <row r="2338" spans="22:22" x14ac:dyDescent="0.25">
      <c r="V2338" s="6" t="str">
        <f t="shared" si="38"/>
        <v/>
      </c>
    </row>
    <row r="2339" spans="22:22" x14ac:dyDescent="0.25">
      <c r="V2339" s="6" t="str">
        <f t="shared" si="38"/>
        <v/>
      </c>
    </row>
    <row r="2340" spans="22:22" x14ac:dyDescent="0.25">
      <c r="V2340" s="6" t="str">
        <f t="shared" si="38"/>
        <v/>
      </c>
    </row>
    <row r="2341" spans="22:22" x14ac:dyDescent="0.25">
      <c r="V2341" s="6" t="str">
        <f t="shared" si="38"/>
        <v/>
      </c>
    </row>
    <row r="2342" spans="22:22" x14ac:dyDescent="0.25">
      <c r="V2342" s="6" t="str">
        <f t="shared" si="38"/>
        <v/>
      </c>
    </row>
    <row r="2343" spans="22:22" x14ac:dyDescent="0.25">
      <c r="V2343" s="6" t="str">
        <f t="shared" si="38"/>
        <v/>
      </c>
    </row>
    <row r="2344" spans="22:22" x14ac:dyDescent="0.25">
      <c r="V2344" s="6" t="str">
        <f t="shared" si="38"/>
        <v/>
      </c>
    </row>
    <row r="2345" spans="22:22" x14ac:dyDescent="0.25">
      <c r="V2345" s="6" t="str">
        <f t="shared" si="38"/>
        <v/>
      </c>
    </row>
    <row r="2346" spans="22:22" x14ac:dyDescent="0.25">
      <c r="V2346" s="6" t="str">
        <f t="shared" si="38"/>
        <v/>
      </c>
    </row>
    <row r="2347" spans="22:22" x14ac:dyDescent="0.25">
      <c r="V2347" s="6" t="str">
        <f t="shared" si="38"/>
        <v/>
      </c>
    </row>
    <row r="2348" spans="22:22" x14ac:dyDescent="0.25">
      <c r="V2348" s="6" t="str">
        <f t="shared" si="38"/>
        <v/>
      </c>
    </row>
    <row r="2349" spans="22:22" x14ac:dyDescent="0.25">
      <c r="V2349" s="6" t="str">
        <f t="shared" si="38"/>
        <v/>
      </c>
    </row>
    <row r="2350" spans="22:22" x14ac:dyDescent="0.25">
      <c r="V2350" s="6" t="str">
        <f t="shared" si="38"/>
        <v/>
      </c>
    </row>
    <row r="2351" spans="22:22" x14ac:dyDescent="0.25">
      <c r="V2351" s="6" t="str">
        <f t="shared" si="38"/>
        <v/>
      </c>
    </row>
    <row r="2352" spans="22:22" x14ac:dyDescent="0.25">
      <c r="V2352" s="6" t="str">
        <f t="shared" ref="V2352:V2415" si="39">IFERROR(DATEVALUE(D2352),"")</f>
        <v/>
      </c>
    </row>
    <row r="2353" spans="22:22" x14ac:dyDescent="0.25">
      <c r="V2353" s="6" t="str">
        <f t="shared" si="39"/>
        <v/>
      </c>
    </row>
    <row r="2354" spans="22:22" x14ac:dyDescent="0.25">
      <c r="V2354" s="6" t="str">
        <f t="shared" si="39"/>
        <v/>
      </c>
    </row>
    <row r="2355" spans="22:22" x14ac:dyDescent="0.25">
      <c r="V2355" s="6" t="str">
        <f t="shared" si="39"/>
        <v/>
      </c>
    </row>
    <row r="2356" spans="22:22" x14ac:dyDescent="0.25">
      <c r="V2356" s="6" t="str">
        <f t="shared" si="39"/>
        <v/>
      </c>
    </row>
    <row r="2357" spans="22:22" x14ac:dyDescent="0.25">
      <c r="V2357" s="6" t="str">
        <f t="shared" si="39"/>
        <v/>
      </c>
    </row>
    <row r="2358" spans="22:22" x14ac:dyDescent="0.25">
      <c r="V2358" s="6" t="str">
        <f t="shared" si="39"/>
        <v/>
      </c>
    </row>
    <row r="2359" spans="22:22" x14ac:dyDescent="0.25">
      <c r="V2359" s="6" t="str">
        <f t="shared" si="39"/>
        <v/>
      </c>
    </row>
    <row r="2360" spans="22:22" x14ac:dyDescent="0.25">
      <c r="V2360" s="6" t="str">
        <f t="shared" si="39"/>
        <v/>
      </c>
    </row>
    <row r="2361" spans="22:22" x14ac:dyDescent="0.25">
      <c r="V2361" s="6" t="str">
        <f t="shared" si="39"/>
        <v/>
      </c>
    </row>
    <row r="2362" spans="22:22" x14ac:dyDescent="0.25">
      <c r="V2362" s="6" t="str">
        <f t="shared" si="39"/>
        <v/>
      </c>
    </row>
    <row r="2363" spans="22:22" x14ac:dyDescent="0.25">
      <c r="V2363" s="6" t="str">
        <f t="shared" si="39"/>
        <v/>
      </c>
    </row>
    <row r="2364" spans="22:22" x14ac:dyDescent="0.25">
      <c r="V2364" s="6" t="str">
        <f t="shared" si="39"/>
        <v/>
      </c>
    </row>
    <row r="2365" spans="22:22" x14ac:dyDescent="0.25">
      <c r="V2365" s="6" t="str">
        <f t="shared" si="39"/>
        <v/>
      </c>
    </row>
    <row r="2366" spans="22:22" x14ac:dyDescent="0.25">
      <c r="V2366" s="6" t="str">
        <f t="shared" si="39"/>
        <v/>
      </c>
    </row>
    <row r="2367" spans="22:22" x14ac:dyDescent="0.25">
      <c r="V2367" s="6" t="str">
        <f t="shared" si="39"/>
        <v/>
      </c>
    </row>
    <row r="2368" spans="22:22" x14ac:dyDescent="0.25">
      <c r="V2368" s="6" t="str">
        <f t="shared" si="39"/>
        <v/>
      </c>
    </row>
    <row r="2369" spans="22:22" x14ac:dyDescent="0.25">
      <c r="V2369" s="6" t="str">
        <f t="shared" si="39"/>
        <v/>
      </c>
    </row>
    <row r="2370" spans="22:22" x14ac:dyDescent="0.25">
      <c r="V2370" s="6" t="str">
        <f t="shared" si="39"/>
        <v/>
      </c>
    </row>
    <row r="2371" spans="22:22" x14ac:dyDescent="0.25">
      <c r="V2371" s="6" t="str">
        <f t="shared" si="39"/>
        <v/>
      </c>
    </row>
    <row r="2372" spans="22:22" x14ac:dyDescent="0.25">
      <c r="V2372" s="6" t="str">
        <f t="shared" si="39"/>
        <v/>
      </c>
    </row>
    <row r="2373" spans="22:22" x14ac:dyDescent="0.25">
      <c r="V2373" s="6" t="str">
        <f t="shared" si="39"/>
        <v/>
      </c>
    </row>
    <row r="2374" spans="22:22" x14ac:dyDescent="0.25">
      <c r="V2374" s="6" t="str">
        <f t="shared" si="39"/>
        <v/>
      </c>
    </row>
    <row r="2375" spans="22:22" x14ac:dyDescent="0.25">
      <c r="V2375" s="6" t="str">
        <f t="shared" si="39"/>
        <v/>
      </c>
    </row>
    <row r="2376" spans="22:22" x14ac:dyDescent="0.25">
      <c r="V2376" s="6" t="str">
        <f t="shared" si="39"/>
        <v/>
      </c>
    </row>
    <row r="2377" spans="22:22" x14ac:dyDescent="0.25">
      <c r="V2377" s="6" t="str">
        <f t="shared" si="39"/>
        <v/>
      </c>
    </row>
    <row r="2378" spans="22:22" x14ac:dyDescent="0.25">
      <c r="V2378" s="6" t="str">
        <f t="shared" si="39"/>
        <v/>
      </c>
    </row>
    <row r="2379" spans="22:22" x14ac:dyDescent="0.25">
      <c r="V2379" s="6" t="str">
        <f t="shared" si="39"/>
        <v/>
      </c>
    </row>
    <row r="2380" spans="22:22" x14ac:dyDescent="0.25">
      <c r="V2380" s="6" t="str">
        <f t="shared" si="39"/>
        <v/>
      </c>
    </row>
    <row r="2381" spans="22:22" x14ac:dyDescent="0.25">
      <c r="V2381" s="6" t="str">
        <f t="shared" si="39"/>
        <v/>
      </c>
    </row>
    <row r="2382" spans="22:22" x14ac:dyDescent="0.25">
      <c r="V2382" s="6" t="str">
        <f t="shared" si="39"/>
        <v/>
      </c>
    </row>
    <row r="2383" spans="22:22" x14ac:dyDescent="0.25">
      <c r="V2383" s="6" t="str">
        <f t="shared" si="39"/>
        <v/>
      </c>
    </row>
    <row r="2384" spans="22:22" x14ac:dyDescent="0.25">
      <c r="V2384" s="6" t="str">
        <f t="shared" si="39"/>
        <v/>
      </c>
    </row>
    <row r="2385" spans="22:22" x14ac:dyDescent="0.25">
      <c r="V2385" s="6" t="str">
        <f t="shared" si="39"/>
        <v/>
      </c>
    </row>
    <row r="2386" spans="22:22" x14ac:dyDescent="0.25">
      <c r="V2386" s="6" t="str">
        <f t="shared" si="39"/>
        <v/>
      </c>
    </row>
    <row r="2387" spans="22:22" x14ac:dyDescent="0.25">
      <c r="V2387" s="6" t="str">
        <f t="shared" si="39"/>
        <v/>
      </c>
    </row>
    <row r="2388" spans="22:22" x14ac:dyDescent="0.25">
      <c r="V2388" s="6" t="str">
        <f t="shared" si="39"/>
        <v/>
      </c>
    </row>
    <row r="2389" spans="22:22" x14ac:dyDescent="0.25">
      <c r="V2389" s="6" t="str">
        <f t="shared" si="39"/>
        <v/>
      </c>
    </row>
    <row r="2390" spans="22:22" x14ac:dyDescent="0.25">
      <c r="V2390" s="6" t="str">
        <f t="shared" si="39"/>
        <v/>
      </c>
    </row>
    <row r="2391" spans="22:22" x14ac:dyDescent="0.25">
      <c r="V2391" s="6" t="str">
        <f t="shared" si="39"/>
        <v/>
      </c>
    </row>
    <row r="2392" spans="22:22" x14ac:dyDescent="0.25">
      <c r="V2392" s="6" t="str">
        <f t="shared" si="39"/>
        <v/>
      </c>
    </row>
    <row r="2393" spans="22:22" x14ac:dyDescent="0.25">
      <c r="V2393" s="6" t="str">
        <f t="shared" si="39"/>
        <v/>
      </c>
    </row>
    <row r="2394" spans="22:22" x14ac:dyDescent="0.25">
      <c r="V2394" s="6" t="str">
        <f t="shared" si="39"/>
        <v/>
      </c>
    </row>
    <row r="2395" spans="22:22" x14ac:dyDescent="0.25">
      <c r="V2395" s="6" t="str">
        <f t="shared" si="39"/>
        <v/>
      </c>
    </row>
    <row r="2396" spans="22:22" x14ac:dyDescent="0.25">
      <c r="V2396" s="6" t="str">
        <f t="shared" si="39"/>
        <v/>
      </c>
    </row>
    <row r="2397" spans="22:22" x14ac:dyDescent="0.25">
      <c r="V2397" s="6" t="str">
        <f t="shared" si="39"/>
        <v/>
      </c>
    </row>
    <row r="2398" spans="22:22" x14ac:dyDescent="0.25">
      <c r="V2398" s="6" t="str">
        <f t="shared" si="39"/>
        <v/>
      </c>
    </row>
    <row r="2399" spans="22:22" x14ac:dyDescent="0.25">
      <c r="V2399" s="6" t="str">
        <f t="shared" si="39"/>
        <v/>
      </c>
    </row>
    <row r="2400" spans="22:22" x14ac:dyDescent="0.25">
      <c r="V2400" s="6" t="str">
        <f t="shared" si="39"/>
        <v/>
      </c>
    </row>
    <row r="2401" spans="22:22" x14ac:dyDescent="0.25">
      <c r="V2401" s="6" t="str">
        <f t="shared" si="39"/>
        <v/>
      </c>
    </row>
    <row r="2402" spans="22:22" x14ac:dyDescent="0.25">
      <c r="V2402" s="6" t="str">
        <f t="shared" si="39"/>
        <v/>
      </c>
    </row>
    <row r="2403" spans="22:22" x14ac:dyDescent="0.25">
      <c r="V2403" s="6" t="str">
        <f t="shared" si="39"/>
        <v/>
      </c>
    </row>
    <row r="2404" spans="22:22" x14ac:dyDescent="0.25">
      <c r="V2404" s="6" t="str">
        <f t="shared" si="39"/>
        <v/>
      </c>
    </row>
    <row r="2405" spans="22:22" x14ac:dyDescent="0.25">
      <c r="V2405" s="6" t="str">
        <f t="shared" si="39"/>
        <v/>
      </c>
    </row>
    <row r="2406" spans="22:22" x14ac:dyDescent="0.25">
      <c r="V2406" s="6" t="str">
        <f t="shared" si="39"/>
        <v/>
      </c>
    </row>
    <row r="2407" spans="22:22" x14ac:dyDescent="0.25">
      <c r="V2407" s="6" t="str">
        <f t="shared" si="39"/>
        <v/>
      </c>
    </row>
    <row r="2408" spans="22:22" x14ac:dyDescent="0.25">
      <c r="V2408" s="6" t="str">
        <f t="shared" si="39"/>
        <v/>
      </c>
    </row>
    <row r="2409" spans="22:22" x14ac:dyDescent="0.25">
      <c r="V2409" s="6" t="str">
        <f t="shared" si="39"/>
        <v/>
      </c>
    </row>
    <row r="2410" spans="22:22" x14ac:dyDescent="0.25">
      <c r="V2410" s="6" t="str">
        <f t="shared" si="39"/>
        <v/>
      </c>
    </row>
    <row r="2411" spans="22:22" x14ac:dyDescent="0.25">
      <c r="V2411" s="6" t="str">
        <f t="shared" si="39"/>
        <v/>
      </c>
    </row>
    <row r="2412" spans="22:22" x14ac:dyDescent="0.25">
      <c r="V2412" s="6" t="str">
        <f t="shared" si="39"/>
        <v/>
      </c>
    </row>
    <row r="2413" spans="22:22" x14ac:dyDescent="0.25">
      <c r="V2413" s="6" t="str">
        <f t="shared" si="39"/>
        <v/>
      </c>
    </row>
    <row r="2414" spans="22:22" x14ac:dyDescent="0.25">
      <c r="V2414" s="6" t="str">
        <f t="shared" si="39"/>
        <v/>
      </c>
    </row>
    <row r="2415" spans="22:22" x14ac:dyDescent="0.25">
      <c r="V2415" s="6" t="str">
        <f t="shared" si="39"/>
        <v/>
      </c>
    </row>
    <row r="2416" spans="22:22" x14ac:dyDescent="0.25">
      <c r="V2416" s="6" t="str">
        <f t="shared" ref="V2416:V2479" si="40">IFERROR(DATEVALUE(D2416),"")</f>
        <v/>
      </c>
    </row>
    <row r="2417" spans="22:22" x14ac:dyDescent="0.25">
      <c r="V2417" s="6" t="str">
        <f t="shared" si="40"/>
        <v/>
      </c>
    </row>
    <row r="2418" spans="22:22" x14ac:dyDescent="0.25">
      <c r="V2418" s="6" t="str">
        <f t="shared" si="40"/>
        <v/>
      </c>
    </row>
    <row r="2419" spans="22:22" x14ac:dyDescent="0.25">
      <c r="V2419" s="6" t="str">
        <f t="shared" si="40"/>
        <v/>
      </c>
    </row>
    <row r="2420" spans="22:22" x14ac:dyDescent="0.25">
      <c r="V2420" s="6" t="str">
        <f t="shared" si="40"/>
        <v/>
      </c>
    </row>
    <row r="2421" spans="22:22" x14ac:dyDescent="0.25">
      <c r="V2421" s="6" t="str">
        <f t="shared" si="40"/>
        <v/>
      </c>
    </row>
    <row r="2422" spans="22:22" x14ac:dyDescent="0.25">
      <c r="V2422" s="6" t="str">
        <f t="shared" si="40"/>
        <v/>
      </c>
    </row>
    <row r="2423" spans="22:22" x14ac:dyDescent="0.25">
      <c r="V2423" s="6" t="str">
        <f t="shared" si="40"/>
        <v/>
      </c>
    </row>
    <row r="2424" spans="22:22" x14ac:dyDescent="0.25">
      <c r="V2424" s="6" t="str">
        <f t="shared" si="40"/>
        <v/>
      </c>
    </row>
    <row r="2425" spans="22:22" x14ac:dyDescent="0.25">
      <c r="V2425" s="6" t="str">
        <f t="shared" si="40"/>
        <v/>
      </c>
    </row>
    <row r="2426" spans="22:22" x14ac:dyDescent="0.25">
      <c r="V2426" s="6" t="str">
        <f t="shared" si="40"/>
        <v/>
      </c>
    </row>
    <row r="2427" spans="22:22" x14ac:dyDescent="0.25">
      <c r="V2427" s="6" t="str">
        <f t="shared" si="40"/>
        <v/>
      </c>
    </row>
    <row r="2428" spans="22:22" x14ac:dyDescent="0.25">
      <c r="V2428" s="6" t="str">
        <f t="shared" si="40"/>
        <v/>
      </c>
    </row>
    <row r="2429" spans="22:22" x14ac:dyDescent="0.25">
      <c r="V2429" s="6" t="str">
        <f t="shared" si="40"/>
        <v/>
      </c>
    </row>
    <row r="2430" spans="22:22" x14ac:dyDescent="0.25">
      <c r="V2430" s="6" t="str">
        <f t="shared" si="40"/>
        <v/>
      </c>
    </row>
    <row r="2431" spans="22:22" x14ac:dyDescent="0.25">
      <c r="V2431" s="6" t="str">
        <f t="shared" si="40"/>
        <v/>
      </c>
    </row>
    <row r="2432" spans="22:22" x14ac:dyDescent="0.25">
      <c r="V2432" s="6" t="str">
        <f t="shared" si="40"/>
        <v/>
      </c>
    </row>
    <row r="2433" spans="22:22" x14ac:dyDescent="0.25">
      <c r="V2433" s="6" t="str">
        <f t="shared" si="40"/>
        <v/>
      </c>
    </row>
    <row r="2434" spans="22:22" x14ac:dyDescent="0.25">
      <c r="V2434" s="6" t="str">
        <f t="shared" si="40"/>
        <v/>
      </c>
    </row>
    <row r="2435" spans="22:22" x14ac:dyDescent="0.25">
      <c r="V2435" s="6" t="str">
        <f t="shared" si="40"/>
        <v/>
      </c>
    </row>
    <row r="2436" spans="22:22" x14ac:dyDescent="0.25">
      <c r="V2436" s="6" t="str">
        <f t="shared" si="40"/>
        <v/>
      </c>
    </row>
    <row r="2437" spans="22:22" x14ac:dyDescent="0.25">
      <c r="V2437" s="6" t="str">
        <f t="shared" si="40"/>
        <v/>
      </c>
    </row>
    <row r="2438" spans="22:22" x14ac:dyDescent="0.25">
      <c r="V2438" s="6" t="str">
        <f t="shared" si="40"/>
        <v/>
      </c>
    </row>
    <row r="2439" spans="22:22" x14ac:dyDescent="0.25">
      <c r="V2439" s="6" t="str">
        <f t="shared" si="40"/>
        <v/>
      </c>
    </row>
    <row r="2440" spans="22:22" x14ac:dyDescent="0.25">
      <c r="V2440" s="6" t="str">
        <f t="shared" si="40"/>
        <v/>
      </c>
    </row>
    <row r="2441" spans="22:22" x14ac:dyDescent="0.25">
      <c r="V2441" s="6" t="str">
        <f t="shared" si="40"/>
        <v/>
      </c>
    </row>
    <row r="2442" spans="22:22" x14ac:dyDescent="0.25">
      <c r="V2442" s="6" t="str">
        <f t="shared" si="40"/>
        <v/>
      </c>
    </row>
    <row r="2443" spans="22:22" x14ac:dyDescent="0.25">
      <c r="V2443" s="6" t="str">
        <f t="shared" si="40"/>
        <v/>
      </c>
    </row>
    <row r="2444" spans="22:22" x14ac:dyDescent="0.25">
      <c r="V2444" s="6" t="str">
        <f t="shared" si="40"/>
        <v/>
      </c>
    </row>
    <row r="2445" spans="22:22" x14ac:dyDescent="0.25">
      <c r="V2445" s="6" t="str">
        <f t="shared" si="40"/>
        <v/>
      </c>
    </row>
    <row r="2446" spans="22:22" x14ac:dyDescent="0.25">
      <c r="V2446" s="6" t="str">
        <f t="shared" si="40"/>
        <v/>
      </c>
    </row>
    <row r="2447" spans="22:22" x14ac:dyDescent="0.25">
      <c r="V2447" s="6" t="str">
        <f t="shared" si="40"/>
        <v/>
      </c>
    </row>
    <row r="2448" spans="22:22" x14ac:dyDescent="0.25">
      <c r="V2448" s="6" t="str">
        <f t="shared" si="40"/>
        <v/>
      </c>
    </row>
    <row r="2449" spans="22:22" x14ac:dyDescent="0.25">
      <c r="V2449" s="6" t="str">
        <f t="shared" si="40"/>
        <v/>
      </c>
    </row>
    <row r="2450" spans="22:22" x14ac:dyDescent="0.25">
      <c r="V2450" s="6" t="str">
        <f t="shared" si="40"/>
        <v/>
      </c>
    </row>
    <row r="2451" spans="22:22" x14ac:dyDescent="0.25">
      <c r="V2451" s="6" t="str">
        <f t="shared" si="40"/>
        <v/>
      </c>
    </row>
    <row r="2452" spans="22:22" x14ac:dyDescent="0.25">
      <c r="V2452" s="6" t="str">
        <f t="shared" si="40"/>
        <v/>
      </c>
    </row>
    <row r="2453" spans="22:22" x14ac:dyDescent="0.25">
      <c r="V2453" s="6" t="str">
        <f t="shared" si="40"/>
        <v/>
      </c>
    </row>
    <row r="2454" spans="22:22" x14ac:dyDescent="0.25">
      <c r="V2454" s="6" t="str">
        <f t="shared" si="40"/>
        <v/>
      </c>
    </row>
    <row r="2455" spans="22:22" x14ac:dyDescent="0.25">
      <c r="V2455" s="6" t="str">
        <f t="shared" si="40"/>
        <v/>
      </c>
    </row>
    <row r="2456" spans="22:22" x14ac:dyDescent="0.25">
      <c r="V2456" s="6" t="str">
        <f t="shared" si="40"/>
        <v/>
      </c>
    </row>
    <row r="2457" spans="22:22" x14ac:dyDescent="0.25">
      <c r="V2457" s="6" t="str">
        <f t="shared" si="40"/>
        <v/>
      </c>
    </row>
    <row r="2458" spans="22:22" x14ac:dyDescent="0.25">
      <c r="V2458" s="6" t="str">
        <f t="shared" si="40"/>
        <v/>
      </c>
    </row>
    <row r="2459" spans="22:22" x14ac:dyDescent="0.25">
      <c r="V2459" s="6" t="str">
        <f t="shared" si="40"/>
        <v/>
      </c>
    </row>
    <row r="2460" spans="22:22" x14ac:dyDescent="0.25">
      <c r="V2460" s="6" t="str">
        <f t="shared" si="40"/>
        <v/>
      </c>
    </row>
    <row r="2461" spans="22:22" x14ac:dyDescent="0.25">
      <c r="V2461" s="6" t="str">
        <f t="shared" si="40"/>
        <v/>
      </c>
    </row>
    <row r="2462" spans="22:22" x14ac:dyDescent="0.25">
      <c r="V2462" s="6" t="str">
        <f t="shared" si="40"/>
        <v/>
      </c>
    </row>
    <row r="2463" spans="22:22" x14ac:dyDescent="0.25">
      <c r="V2463" s="6" t="str">
        <f t="shared" si="40"/>
        <v/>
      </c>
    </row>
    <row r="2464" spans="22:22" x14ac:dyDescent="0.25">
      <c r="V2464" s="6" t="str">
        <f t="shared" si="40"/>
        <v/>
      </c>
    </row>
    <row r="2465" spans="22:22" x14ac:dyDescent="0.25">
      <c r="V2465" s="6" t="str">
        <f t="shared" si="40"/>
        <v/>
      </c>
    </row>
    <row r="2466" spans="22:22" x14ac:dyDescent="0.25">
      <c r="V2466" s="6" t="str">
        <f t="shared" si="40"/>
        <v/>
      </c>
    </row>
    <row r="2467" spans="22:22" x14ac:dyDescent="0.25">
      <c r="V2467" s="6" t="str">
        <f t="shared" si="40"/>
        <v/>
      </c>
    </row>
    <row r="2468" spans="22:22" x14ac:dyDescent="0.25">
      <c r="V2468" s="6" t="str">
        <f t="shared" si="40"/>
        <v/>
      </c>
    </row>
    <row r="2469" spans="22:22" x14ac:dyDescent="0.25">
      <c r="V2469" s="6" t="str">
        <f t="shared" si="40"/>
        <v/>
      </c>
    </row>
    <row r="2470" spans="22:22" x14ac:dyDescent="0.25">
      <c r="V2470" s="6" t="str">
        <f t="shared" si="40"/>
        <v/>
      </c>
    </row>
    <row r="2471" spans="22:22" x14ac:dyDescent="0.25">
      <c r="V2471" s="6" t="str">
        <f t="shared" si="40"/>
        <v/>
      </c>
    </row>
    <row r="2472" spans="22:22" x14ac:dyDescent="0.25">
      <c r="V2472" s="6" t="str">
        <f t="shared" si="40"/>
        <v/>
      </c>
    </row>
    <row r="2473" spans="22:22" x14ac:dyDescent="0.25">
      <c r="V2473" s="6" t="str">
        <f t="shared" si="40"/>
        <v/>
      </c>
    </row>
    <row r="2474" spans="22:22" x14ac:dyDescent="0.25">
      <c r="V2474" s="6" t="str">
        <f t="shared" si="40"/>
        <v/>
      </c>
    </row>
    <row r="2475" spans="22:22" x14ac:dyDescent="0.25">
      <c r="V2475" s="6" t="str">
        <f t="shared" si="40"/>
        <v/>
      </c>
    </row>
    <row r="2476" spans="22:22" x14ac:dyDescent="0.25">
      <c r="V2476" s="6" t="str">
        <f t="shared" si="40"/>
        <v/>
      </c>
    </row>
    <row r="2477" spans="22:22" x14ac:dyDescent="0.25">
      <c r="V2477" s="6" t="str">
        <f t="shared" si="40"/>
        <v/>
      </c>
    </row>
    <row r="2478" spans="22:22" x14ac:dyDescent="0.25">
      <c r="V2478" s="6" t="str">
        <f t="shared" si="40"/>
        <v/>
      </c>
    </row>
    <row r="2479" spans="22:22" x14ac:dyDescent="0.25">
      <c r="V2479" s="6" t="str">
        <f t="shared" si="40"/>
        <v/>
      </c>
    </row>
    <row r="2480" spans="22:22" x14ac:dyDescent="0.25">
      <c r="V2480" s="6" t="str">
        <f t="shared" ref="V2480:V2543" si="41">IFERROR(DATEVALUE(D2480),"")</f>
        <v/>
      </c>
    </row>
    <row r="2481" spans="22:22" x14ac:dyDescent="0.25">
      <c r="V2481" s="6" t="str">
        <f t="shared" si="41"/>
        <v/>
      </c>
    </row>
    <row r="2482" spans="22:22" x14ac:dyDescent="0.25">
      <c r="V2482" s="6" t="str">
        <f t="shared" si="41"/>
        <v/>
      </c>
    </row>
    <row r="2483" spans="22:22" x14ac:dyDescent="0.25">
      <c r="V2483" s="6" t="str">
        <f t="shared" si="41"/>
        <v/>
      </c>
    </row>
    <row r="2484" spans="22:22" x14ac:dyDescent="0.25">
      <c r="V2484" s="6" t="str">
        <f t="shared" si="41"/>
        <v/>
      </c>
    </row>
    <row r="2485" spans="22:22" x14ac:dyDescent="0.25">
      <c r="V2485" s="6" t="str">
        <f t="shared" si="41"/>
        <v/>
      </c>
    </row>
    <row r="2486" spans="22:22" x14ac:dyDescent="0.25">
      <c r="V2486" s="6" t="str">
        <f t="shared" si="41"/>
        <v/>
      </c>
    </row>
    <row r="2487" spans="22:22" x14ac:dyDescent="0.25">
      <c r="V2487" s="6" t="str">
        <f t="shared" si="41"/>
        <v/>
      </c>
    </row>
    <row r="2488" spans="22:22" x14ac:dyDescent="0.25">
      <c r="V2488" s="6" t="str">
        <f t="shared" si="41"/>
        <v/>
      </c>
    </row>
    <row r="2489" spans="22:22" x14ac:dyDescent="0.25">
      <c r="V2489" s="6" t="str">
        <f t="shared" si="41"/>
        <v/>
      </c>
    </row>
    <row r="2490" spans="22:22" x14ac:dyDescent="0.25">
      <c r="V2490" s="6" t="str">
        <f t="shared" si="41"/>
        <v/>
      </c>
    </row>
    <row r="2491" spans="22:22" x14ac:dyDescent="0.25">
      <c r="V2491" s="6" t="str">
        <f t="shared" si="41"/>
        <v/>
      </c>
    </row>
    <row r="2492" spans="22:22" x14ac:dyDescent="0.25">
      <c r="V2492" s="6" t="str">
        <f t="shared" si="41"/>
        <v/>
      </c>
    </row>
    <row r="2493" spans="22:22" x14ac:dyDescent="0.25">
      <c r="V2493" s="6" t="str">
        <f t="shared" si="41"/>
        <v/>
      </c>
    </row>
    <row r="2494" spans="22:22" x14ac:dyDescent="0.25">
      <c r="V2494" s="6" t="str">
        <f t="shared" si="41"/>
        <v/>
      </c>
    </row>
    <row r="2495" spans="22:22" x14ac:dyDescent="0.25">
      <c r="V2495" s="6" t="str">
        <f t="shared" si="41"/>
        <v/>
      </c>
    </row>
    <row r="2496" spans="22:22" x14ac:dyDescent="0.25">
      <c r="V2496" s="6" t="str">
        <f t="shared" si="41"/>
        <v/>
      </c>
    </row>
    <row r="2497" spans="22:22" x14ac:dyDescent="0.25">
      <c r="V2497" s="6" t="str">
        <f t="shared" si="41"/>
        <v/>
      </c>
    </row>
    <row r="2498" spans="22:22" x14ac:dyDescent="0.25">
      <c r="V2498" s="6" t="str">
        <f t="shared" si="41"/>
        <v/>
      </c>
    </row>
    <row r="2499" spans="22:22" x14ac:dyDescent="0.25">
      <c r="V2499" s="6" t="str">
        <f t="shared" si="41"/>
        <v/>
      </c>
    </row>
    <row r="2500" spans="22:22" x14ac:dyDescent="0.25">
      <c r="V2500" s="6" t="str">
        <f t="shared" si="41"/>
        <v/>
      </c>
    </row>
    <row r="2501" spans="22:22" x14ac:dyDescent="0.25">
      <c r="V2501" s="6" t="str">
        <f t="shared" si="41"/>
        <v/>
      </c>
    </row>
    <row r="2502" spans="22:22" x14ac:dyDescent="0.25">
      <c r="V2502" s="6" t="str">
        <f t="shared" si="41"/>
        <v/>
      </c>
    </row>
    <row r="2503" spans="22:22" x14ac:dyDescent="0.25">
      <c r="V2503" s="6" t="str">
        <f t="shared" si="41"/>
        <v/>
      </c>
    </row>
    <row r="2504" spans="22:22" x14ac:dyDescent="0.25">
      <c r="V2504" s="6" t="str">
        <f t="shared" si="41"/>
        <v/>
      </c>
    </row>
    <row r="2505" spans="22:22" x14ac:dyDescent="0.25">
      <c r="V2505" s="6" t="str">
        <f t="shared" si="41"/>
        <v/>
      </c>
    </row>
    <row r="2506" spans="22:22" x14ac:dyDescent="0.25">
      <c r="V2506" s="6" t="str">
        <f t="shared" si="41"/>
        <v/>
      </c>
    </row>
    <row r="2507" spans="22:22" x14ac:dyDescent="0.25">
      <c r="V2507" s="6" t="str">
        <f t="shared" si="41"/>
        <v/>
      </c>
    </row>
    <row r="2508" spans="22:22" x14ac:dyDescent="0.25">
      <c r="V2508" s="6" t="str">
        <f t="shared" si="41"/>
        <v/>
      </c>
    </row>
    <row r="2509" spans="22:22" x14ac:dyDescent="0.25">
      <c r="V2509" s="6" t="str">
        <f t="shared" si="41"/>
        <v/>
      </c>
    </row>
    <row r="2510" spans="22:22" x14ac:dyDescent="0.25">
      <c r="V2510" s="6" t="str">
        <f t="shared" si="41"/>
        <v/>
      </c>
    </row>
    <row r="2511" spans="22:22" x14ac:dyDescent="0.25">
      <c r="V2511" s="6" t="str">
        <f t="shared" si="41"/>
        <v/>
      </c>
    </row>
    <row r="2512" spans="22:22" x14ac:dyDescent="0.25">
      <c r="V2512" s="6" t="str">
        <f t="shared" si="41"/>
        <v/>
      </c>
    </row>
    <row r="2513" spans="22:22" x14ac:dyDescent="0.25">
      <c r="V2513" s="6" t="str">
        <f t="shared" si="41"/>
        <v/>
      </c>
    </row>
    <row r="2514" spans="22:22" x14ac:dyDescent="0.25">
      <c r="V2514" s="6" t="str">
        <f t="shared" si="41"/>
        <v/>
      </c>
    </row>
    <row r="2515" spans="22:22" x14ac:dyDescent="0.25">
      <c r="V2515" s="6" t="str">
        <f t="shared" si="41"/>
        <v/>
      </c>
    </row>
    <row r="2516" spans="22:22" x14ac:dyDescent="0.25">
      <c r="V2516" s="6" t="str">
        <f t="shared" si="41"/>
        <v/>
      </c>
    </row>
    <row r="2517" spans="22:22" x14ac:dyDescent="0.25">
      <c r="V2517" s="6" t="str">
        <f t="shared" si="41"/>
        <v/>
      </c>
    </row>
    <row r="2518" spans="22:22" x14ac:dyDescent="0.25">
      <c r="V2518" s="6" t="str">
        <f t="shared" si="41"/>
        <v/>
      </c>
    </row>
    <row r="2519" spans="22:22" x14ac:dyDescent="0.25">
      <c r="V2519" s="6" t="str">
        <f t="shared" si="41"/>
        <v/>
      </c>
    </row>
    <row r="2520" spans="22:22" x14ac:dyDescent="0.25">
      <c r="V2520" s="6" t="str">
        <f t="shared" si="41"/>
        <v/>
      </c>
    </row>
    <row r="2521" spans="22:22" x14ac:dyDescent="0.25">
      <c r="V2521" s="6" t="str">
        <f t="shared" si="41"/>
        <v/>
      </c>
    </row>
    <row r="2522" spans="22:22" x14ac:dyDescent="0.25">
      <c r="V2522" s="6" t="str">
        <f t="shared" si="41"/>
        <v/>
      </c>
    </row>
    <row r="2523" spans="22:22" x14ac:dyDescent="0.25">
      <c r="V2523" s="6" t="str">
        <f t="shared" si="41"/>
        <v/>
      </c>
    </row>
    <row r="2524" spans="22:22" x14ac:dyDescent="0.25">
      <c r="V2524" s="6" t="str">
        <f t="shared" si="41"/>
        <v/>
      </c>
    </row>
    <row r="2525" spans="22:22" x14ac:dyDescent="0.25">
      <c r="V2525" s="6" t="str">
        <f t="shared" si="41"/>
        <v/>
      </c>
    </row>
    <row r="2526" spans="22:22" x14ac:dyDescent="0.25">
      <c r="V2526" s="6" t="str">
        <f t="shared" si="41"/>
        <v/>
      </c>
    </row>
    <row r="2527" spans="22:22" x14ac:dyDescent="0.25">
      <c r="V2527" s="6" t="str">
        <f t="shared" si="41"/>
        <v/>
      </c>
    </row>
    <row r="2528" spans="22:22" x14ac:dyDescent="0.25">
      <c r="V2528" s="6" t="str">
        <f t="shared" si="41"/>
        <v/>
      </c>
    </row>
    <row r="2529" spans="22:22" x14ac:dyDescent="0.25">
      <c r="V2529" s="6" t="str">
        <f t="shared" si="41"/>
        <v/>
      </c>
    </row>
    <row r="2530" spans="22:22" x14ac:dyDescent="0.25">
      <c r="V2530" s="6" t="str">
        <f t="shared" si="41"/>
        <v/>
      </c>
    </row>
    <row r="2531" spans="22:22" x14ac:dyDescent="0.25">
      <c r="V2531" s="6" t="str">
        <f t="shared" si="41"/>
        <v/>
      </c>
    </row>
    <row r="2532" spans="22:22" x14ac:dyDescent="0.25">
      <c r="V2532" s="6" t="str">
        <f t="shared" si="41"/>
        <v/>
      </c>
    </row>
    <row r="2533" spans="22:22" x14ac:dyDescent="0.25">
      <c r="V2533" s="6" t="str">
        <f t="shared" si="41"/>
        <v/>
      </c>
    </row>
    <row r="2534" spans="22:22" x14ac:dyDescent="0.25">
      <c r="V2534" s="6" t="str">
        <f t="shared" si="41"/>
        <v/>
      </c>
    </row>
    <row r="2535" spans="22:22" x14ac:dyDescent="0.25">
      <c r="V2535" s="6" t="str">
        <f t="shared" si="41"/>
        <v/>
      </c>
    </row>
    <row r="2536" spans="22:22" x14ac:dyDescent="0.25">
      <c r="V2536" s="6" t="str">
        <f t="shared" si="41"/>
        <v/>
      </c>
    </row>
    <row r="2537" spans="22:22" x14ac:dyDescent="0.25">
      <c r="V2537" s="6" t="str">
        <f t="shared" si="41"/>
        <v/>
      </c>
    </row>
    <row r="2538" spans="22:22" x14ac:dyDescent="0.25">
      <c r="V2538" s="6" t="str">
        <f t="shared" si="41"/>
        <v/>
      </c>
    </row>
    <row r="2539" spans="22:22" x14ac:dyDescent="0.25">
      <c r="V2539" s="6" t="str">
        <f t="shared" si="41"/>
        <v/>
      </c>
    </row>
    <row r="2540" spans="22:22" x14ac:dyDescent="0.25">
      <c r="V2540" s="6" t="str">
        <f t="shared" si="41"/>
        <v/>
      </c>
    </row>
    <row r="2541" spans="22:22" x14ac:dyDescent="0.25">
      <c r="V2541" s="6" t="str">
        <f t="shared" si="41"/>
        <v/>
      </c>
    </row>
    <row r="2542" spans="22:22" x14ac:dyDescent="0.25">
      <c r="V2542" s="6" t="str">
        <f t="shared" si="41"/>
        <v/>
      </c>
    </row>
    <row r="2543" spans="22:22" x14ac:dyDescent="0.25">
      <c r="V2543" s="6" t="str">
        <f t="shared" si="41"/>
        <v/>
      </c>
    </row>
    <row r="2544" spans="22:22" x14ac:dyDescent="0.25">
      <c r="V2544" s="6" t="str">
        <f t="shared" ref="V2544:V2607" si="42">IFERROR(DATEVALUE(D2544),"")</f>
        <v/>
      </c>
    </row>
    <row r="2545" spans="22:22" x14ac:dyDescent="0.25">
      <c r="V2545" s="6" t="str">
        <f t="shared" si="42"/>
        <v/>
      </c>
    </row>
    <row r="2546" spans="22:22" x14ac:dyDescent="0.25">
      <c r="V2546" s="6" t="str">
        <f t="shared" si="42"/>
        <v/>
      </c>
    </row>
    <row r="2547" spans="22:22" x14ac:dyDescent="0.25">
      <c r="V2547" s="6" t="str">
        <f t="shared" si="42"/>
        <v/>
      </c>
    </row>
    <row r="2548" spans="22:22" x14ac:dyDescent="0.25">
      <c r="V2548" s="6" t="str">
        <f t="shared" si="42"/>
        <v/>
      </c>
    </row>
    <row r="2549" spans="22:22" x14ac:dyDescent="0.25">
      <c r="V2549" s="6" t="str">
        <f t="shared" si="42"/>
        <v/>
      </c>
    </row>
    <row r="2550" spans="22:22" x14ac:dyDescent="0.25">
      <c r="V2550" s="6" t="str">
        <f t="shared" si="42"/>
        <v/>
      </c>
    </row>
    <row r="2551" spans="22:22" x14ac:dyDescent="0.25">
      <c r="V2551" s="6" t="str">
        <f t="shared" si="42"/>
        <v/>
      </c>
    </row>
    <row r="2552" spans="22:22" x14ac:dyDescent="0.25">
      <c r="V2552" s="6" t="str">
        <f t="shared" si="42"/>
        <v/>
      </c>
    </row>
    <row r="2553" spans="22:22" x14ac:dyDescent="0.25">
      <c r="V2553" s="6" t="str">
        <f t="shared" si="42"/>
        <v/>
      </c>
    </row>
    <row r="2554" spans="22:22" x14ac:dyDescent="0.25">
      <c r="V2554" s="6" t="str">
        <f t="shared" si="42"/>
        <v/>
      </c>
    </row>
    <row r="2555" spans="22:22" x14ac:dyDescent="0.25">
      <c r="V2555" s="6" t="str">
        <f t="shared" si="42"/>
        <v/>
      </c>
    </row>
    <row r="2556" spans="22:22" x14ac:dyDescent="0.25">
      <c r="V2556" s="6" t="str">
        <f t="shared" si="42"/>
        <v/>
      </c>
    </row>
    <row r="2557" spans="22:22" x14ac:dyDescent="0.25">
      <c r="V2557" s="6" t="str">
        <f t="shared" si="42"/>
        <v/>
      </c>
    </row>
    <row r="2558" spans="22:22" x14ac:dyDescent="0.25">
      <c r="V2558" s="6" t="str">
        <f t="shared" si="42"/>
        <v/>
      </c>
    </row>
    <row r="2559" spans="22:22" x14ac:dyDescent="0.25">
      <c r="V2559" s="6" t="str">
        <f t="shared" si="42"/>
        <v/>
      </c>
    </row>
    <row r="2560" spans="22:22" x14ac:dyDescent="0.25">
      <c r="V2560" s="6" t="str">
        <f t="shared" si="42"/>
        <v/>
      </c>
    </row>
    <row r="2561" spans="22:22" x14ac:dyDescent="0.25">
      <c r="V2561" s="6" t="str">
        <f t="shared" si="42"/>
        <v/>
      </c>
    </row>
    <row r="2562" spans="22:22" x14ac:dyDescent="0.25">
      <c r="V2562" s="6" t="str">
        <f t="shared" si="42"/>
        <v/>
      </c>
    </row>
    <row r="2563" spans="22:22" x14ac:dyDescent="0.25">
      <c r="V2563" s="6" t="str">
        <f t="shared" si="42"/>
        <v/>
      </c>
    </row>
    <row r="2564" spans="22:22" x14ac:dyDescent="0.25">
      <c r="V2564" s="6" t="str">
        <f t="shared" si="42"/>
        <v/>
      </c>
    </row>
    <row r="2565" spans="22:22" x14ac:dyDescent="0.25">
      <c r="V2565" s="6" t="str">
        <f t="shared" si="42"/>
        <v/>
      </c>
    </row>
    <row r="2566" spans="22:22" x14ac:dyDescent="0.25">
      <c r="V2566" s="6" t="str">
        <f t="shared" si="42"/>
        <v/>
      </c>
    </row>
    <row r="2567" spans="22:22" x14ac:dyDescent="0.25">
      <c r="V2567" s="6" t="str">
        <f t="shared" si="42"/>
        <v/>
      </c>
    </row>
    <row r="2568" spans="22:22" x14ac:dyDescent="0.25">
      <c r="V2568" s="6" t="str">
        <f t="shared" si="42"/>
        <v/>
      </c>
    </row>
    <row r="2569" spans="22:22" x14ac:dyDescent="0.25">
      <c r="V2569" s="6" t="str">
        <f t="shared" si="42"/>
        <v/>
      </c>
    </row>
    <row r="2570" spans="22:22" x14ac:dyDescent="0.25">
      <c r="V2570" s="6" t="str">
        <f t="shared" si="42"/>
        <v/>
      </c>
    </row>
    <row r="2571" spans="22:22" x14ac:dyDescent="0.25">
      <c r="V2571" s="6" t="str">
        <f t="shared" si="42"/>
        <v/>
      </c>
    </row>
    <row r="2572" spans="22:22" x14ac:dyDescent="0.25">
      <c r="V2572" s="6" t="str">
        <f t="shared" si="42"/>
        <v/>
      </c>
    </row>
    <row r="2573" spans="22:22" x14ac:dyDescent="0.25">
      <c r="V2573" s="6" t="str">
        <f t="shared" si="42"/>
        <v/>
      </c>
    </row>
    <row r="2574" spans="22:22" x14ac:dyDescent="0.25">
      <c r="V2574" s="6" t="str">
        <f t="shared" si="42"/>
        <v/>
      </c>
    </row>
    <row r="2575" spans="22:22" x14ac:dyDescent="0.25">
      <c r="V2575" s="6" t="str">
        <f t="shared" si="42"/>
        <v/>
      </c>
    </row>
    <row r="2576" spans="22:22" x14ac:dyDescent="0.25">
      <c r="V2576" s="6" t="str">
        <f t="shared" si="42"/>
        <v/>
      </c>
    </row>
    <row r="2577" spans="22:22" x14ac:dyDescent="0.25">
      <c r="V2577" s="6" t="str">
        <f t="shared" si="42"/>
        <v/>
      </c>
    </row>
    <row r="2578" spans="22:22" x14ac:dyDescent="0.25">
      <c r="V2578" s="6" t="str">
        <f t="shared" si="42"/>
        <v/>
      </c>
    </row>
    <row r="2579" spans="22:22" x14ac:dyDescent="0.25">
      <c r="V2579" s="6" t="str">
        <f t="shared" si="42"/>
        <v/>
      </c>
    </row>
    <row r="2580" spans="22:22" x14ac:dyDescent="0.25">
      <c r="V2580" s="6" t="str">
        <f t="shared" si="42"/>
        <v/>
      </c>
    </row>
    <row r="2581" spans="22:22" x14ac:dyDescent="0.25">
      <c r="V2581" s="6" t="str">
        <f t="shared" si="42"/>
        <v/>
      </c>
    </row>
    <row r="2582" spans="22:22" x14ac:dyDescent="0.25">
      <c r="V2582" s="6" t="str">
        <f t="shared" si="42"/>
        <v/>
      </c>
    </row>
    <row r="2583" spans="22:22" x14ac:dyDescent="0.25">
      <c r="V2583" s="6" t="str">
        <f t="shared" si="42"/>
        <v/>
      </c>
    </row>
    <row r="2584" spans="22:22" x14ac:dyDescent="0.25">
      <c r="V2584" s="6" t="str">
        <f t="shared" si="42"/>
        <v/>
      </c>
    </row>
    <row r="2585" spans="22:22" x14ac:dyDescent="0.25">
      <c r="V2585" s="6" t="str">
        <f t="shared" si="42"/>
        <v/>
      </c>
    </row>
    <row r="2586" spans="22:22" x14ac:dyDescent="0.25">
      <c r="V2586" s="6" t="str">
        <f t="shared" si="42"/>
        <v/>
      </c>
    </row>
    <row r="2587" spans="22:22" x14ac:dyDescent="0.25">
      <c r="V2587" s="6" t="str">
        <f t="shared" si="42"/>
        <v/>
      </c>
    </row>
    <row r="2588" spans="22:22" x14ac:dyDescent="0.25">
      <c r="V2588" s="6" t="str">
        <f t="shared" si="42"/>
        <v/>
      </c>
    </row>
    <row r="2589" spans="22:22" x14ac:dyDescent="0.25">
      <c r="V2589" s="6" t="str">
        <f t="shared" si="42"/>
        <v/>
      </c>
    </row>
    <row r="2590" spans="22:22" x14ac:dyDescent="0.25">
      <c r="V2590" s="6" t="str">
        <f t="shared" si="42"/>
        <v/>
      </c>
    </row>
    <row r="2591" spans="22:22" x14ac:dyDescent="0.25">
      <c r="V2591" s="6" t="str">
        <f t="shared" si="42"/>
        <v/>
      </c>
    </row>
    <row r="2592" spans="22:22" x14ac:dyDescent="0.25">
      <c r="V2592" s="6" t="str">
        <f t="shared" si="42"/>
        <v/>
      </c>
    </row>
    <row r="2593" spans="22:22" x14ac:dyDescent="0.25">
      <c r="V2593" s="6" t="str">
        <f t="shared" si="42"/>
        <v/>
      </c>
    </row>
    <row r="2594" spans="22:22" x14ac:dyDescent="0.25">
      <c r="V2594" s="6" t="str">
        <f t="shared" si="42"/>
        <v/>
      </c>
    </row>
    <row r="2595" spans="22:22" x14ac:dyDescent="0.25">
      <c r="V2595" s="6" t="str">
        <f t="shared" si="42"/>
        <v/>
      </c>
    </row>
    <row r="2596" spans="22:22" x14ac:dyDescent="0.25">
      <c r="V2596" s="6" t="str">
        <f t="shared" si="42"/>
        <v/>
      </c>
    </row>
    <row r="2597" spans="22:22" x14ac:dyDescent="0.25">
      <c r="V2597" s="6" t="str">
        <f t="shared" si="42"/>
        <v/>
      </c>
    </row>
    <row r="2598" spans="22:22" x14ac:dyDescent="0.25">
      <c r="V2598" s="6" t="str">
        <f t="shared" si="42"/>
        <v/>
      </c>
    </row>
    <row r="2599" spans="22:22" x14ac:dyDescent="0.25">
      <c r="V2599" s="6" t="str">
        <f t="shared" si="42"/>
        <v/>
      </c>
    </row>
    <row r="2600" spans="22:22" x14ac:dyDescent="0.25">
      <c r="V2600" s="6" t="str">
        <f t="shared" si="42"/>
        <v/>
      </c>
    </row>
    <row r="2601" spans="22:22" x14ac:dyDescent="0.25">
      <c r="V2601" s="6" t="str">
        <f t="shared" si="42"/>
        <v/>
      </c>
    </row>
    <row r="2602" spans="22:22" x14ac:dyDescent="0.25">
      <c r="V2602" s="6" t="str">
        <f t="shared" si="42"/>
        <v/>
      </c>
    </row>
    <row r="2603" spans="22:22" x14ac:dyDescent="0.25">
      <c r="V2603" s="6" t="str">
        <f t="shared" si="42"/>
        <v/>
      </c>
    </row>
    <row r="2604" spans="22:22" x14ac:dyDescent="0.25">
      <c r="V2604" s="6" t="str">
        <f t="shared" si="42"/>
        <v/>
      </c>
    </row>
    <row r="2605" spans="22:22" x14ac:dyDescent="0.25">
      <c r="V2605" s="6" t="str">
        <f t="shared" si="42"/>
        <v/>
      </c>
    </row>
    <row r="2606" spans="22:22" x14ac:dyDescent="0.25">
      <c r="V2606" s="6" t="str">
        <f t="shared" si="42"/>
        <v/>
      </c>
    </row>
    <row r="2607" spans="22:22" x14ac:dyDescent="0.25">
      <c r="V2607" s="6" t="str">
        <f t="shared" si="42"/>
        <v/>
      </c>
    </row>
    <row r="2608" spans="22:22" x14ac:dyDescent="0.25">
      <c r="V2608" s="6" t="str">
        <f t="shared" ref="V2608:V2671" si="43">IFERROR(DATEVALUE(D2608),"")</f>
        <v/>
      </c>
    </row>
    <row r="2609" spans="22:22" x14ac:dyDescent="0.25">
      <c r="V2609" s="6" t="str">
        <f t="shared" si="43"/>
        <v/>
      </c>
    </row>
    <row r="2610" spans="22:22" x14ac:dyDescent="0.25">
      <c r="V2610" s="6" t="str">
        <f t="shared" si="43"/>
        <v/>
      </c>
    </row>
    <row r="2611" spans="22:22" x14ac:dyDescent="0.25">
      <c r="V2611" s="6" t="str">
        <f t="shared" si="43"/>
        <v/>
      </c>
    </row>
    <row r="2612" spans="22:22" x14ac:dyDescent="0.25">
      <c r="V2612" s="6" t="str">
        <f t="shared" si="43"/>
        <v/>
      </c>
    </row>
    <row r="2613" spans="22:22" x14ac:dyDescent="0.25">
      <c r="V2613" s="6" t="str">
        <f t="shared" si="43"/>
        <v/>
      </c>
    </row>
    <row r="2614" spans="22:22" x14ac:dyDescent="0.25">
      <c r="V2614" s="6" t="str">
        <f t="shared" si="43"/>
        <v/>
      </c>
    </row>
    <row r="2615" spans="22:22" x14ac:dyDescent="0.25">
      <c r="V2615" s="6" t="str">
        <f t="shared" si="43"/>
        <v/>
      </c>
    </row>
    <row r="2616" spans="22:22" x14ac:dyDescent="0.25">
      <c r="V2616" s="6" t="str">
        <f t="shared" si="43"/>
        <v/>
      </c>
    </row>
    <row r="2617" spans="22:22" x14ac:dyDescent="0.25">
      <c r="V2617" s="6" t="str">
        <f t="shared" si="43"/>
        <v/>
      </c>
    </row>
    <row r="2618" spans="22:22" x14ac:dyDescent="0.25">
      <c r="V2618" s="6" t="str">
        <f t="shared" si="43"/>
        <v/>
      </c>
    </row>
    <row r="2619" spans="22:22" x14ac:dyDescent="0.25">
      <c r="V2619" s="6" t="str">
        <f t="shared" si="43"/>
        <v/>
      </c>
    </row>
    <row r="2620" spans="22:22" x14ac:dyDescent="0.25">
      <c r="V2620" s="6" t="str">
        <f t="shared" si="43"/>
        <v/>
      </c>
    </row>
    <row r="2621" spans="22:22" x14ac:dyDescent="0.25">
      <c r="V2621" s="6" t="str">
        <f t="shared" si="43"/>
        <v/>
      </c>
    </row>
    <row r="2622" spans="22:22" x14ac:dyDescent="0.25">
      <c r="V2622" s="6" t="str">
        <f t="shared" si="43"/>
        <v/>
      </c>
    </row>
    <row r="2623" spans="22:22" x14ac:dyDescent="0.25">
      <c r="V2623" s="6" t="str">
        <f t="shared" si="43"/>
        <v/>
      </c>
    </row>
    <row r="2624" spans="22:22" x14ac:dyDescent="0.25">
      <c r="V2624" s="6" t="str">
        <f t="shared" si="43"/>
        <v/>
      </c>
    </row>
    <row r="2625" spans="22:22" x14ac:dyDescent="0.25">
      <c r="V2625" s="6" t="str">
        <f t="shared" si="43"/>
        <v/>
      </c>
    </row>
    <row r="2626" spans="22:22" x14ac:dyDescent="0.25">
      <c r="V2626" s="6" t="str">
        <f t="shared" si="43"/>
        <v/>
      </c>
    </row>
    <row r="2627" spans="22:22" x14ac:dyDescent="0.25">
      <c r="V2627" s="6" t="str">
        <f t="shared" si="43"/>
        <v/>
      </c>
    </row>
    <row r="2628" spans="22:22" x14ac:dyDescent="0.25">
      <c r="V2628" s="6" t="str">
        <f t="shared" si="43"/>
        <v/>
      </c>
    </row>
    <row r="2629" spans="22:22" x14ac:dyDescent="0.25">
      <c r="V2629" s="6" t="str">
        <f t="shared" si="43"/>
        <v/>
      </c>
    </row>
    <row r="2630" spans="22:22" x14ac:dyDescent="0.25">
      <c r="V2630" s="6" t="str">
        <f t="shared" si="43"/>
        <v/>
      </c>
    </row>
    <row r="2631" spans="22:22" x14ac:dyDescent="0.25">
      <c r="V2631" s="6" t="str">
        <f t="shared" si="43"/>
        <v/>
      </c>
    </row>
    <row r="2632" spans="22:22" x14ac:dyDescent="0.25">
      <c r="V2632" s="6" t="str">
        <f t="shared" si="43"/>
        <v/>
      </c>
    </row>
    <row r="2633" spans="22:22" x14ac:dyDescent="0.25">
      <c r="V2633" s="6" t="str">
        <f t="shared" si="43"/>
        <v/>
      </c>
    </row>
    <row r="2634" spans="22:22" x14ac:dyDescent="0.25">
      <c r="V2634" s="6" t="str">
        <f t="shared" si="43"/>
        <v/>
      </c>
    </row>
    <row r="2635" spans="22:22" x14ac:dyDescent="0.25">
      <c r="V2635" s="6" t="str">
        <f t="shared" si="43"/>
        <v/>
      </c>
    </row>
    <row r="2636" spans="22:22" x14ac:dyDescent="0.25">
      <c r="V2636" s="6" t="str">
        <f t="shared" si="43"/>
        <v/>
      </c>
    </row>
    <row r="2637" spans="22:22" x14ac:dyDescent="0.25">
      <c r="V2637" s="6" t="str">
        <f t="shared" si="43"/>
        <v/>
      </c>
    </row>
    <row r="2638" spans="22:22" x14ac:dyDescent="0.25">
      <c r="V2638" s="6" t="str">
        <f t="shared" si="43"/>
        <v/>
      </c>
    </row>
    <row r="2639" spans="22:22" x14ac:dyDescent="0.25">
      <c r="V2639" s="6" t="str">
        <f t="shared" si="43"/>
        <v/>
      </c>
    </row>
    <row r="2640" spans="22:22" x14ac:dyDescent="0.25">
      <c r="V2640" s="6" t="str">
        <f t="shared" si="43"/>
        <v/>
      </c>
    </row>
    <row r="2641" spans="22:22" x14ac:dyDescent="0.25">
      <c r="V2641" s="6" t="str">
        <f t="shared" si="43"/>
        <v/>
      </c>
    </row>
    <row r="2642" spans="22:22" x14ac:dyDescent="0.25">
      <c r="V2642" s="6" t="str">
        <f t="shared" si="43"/>
        <v/>
      </c>
    </row>
    <row r="2643" spans="22:22" x14ac:dyDescent="0.25">
      <c r="V2643" s="6" t="str">
        <f t="shared" si="43"/>
        <v/>
      </c>
    </row>
    <row r="2644" spans="22:22" x14ac:dyDescent="0.25">
      <c r="V2644" s="6" t="str">
        <f t="shared" si="43"/>
        <v/>
      </c>
    </row>
    <row r="2645" spans="22:22" x14ac:dyDescent="0.25">
      <c r="V2645" s="6" t="str">
        <f t="shared" si="43"/>
        <v/>
      </c>
    </row>
    <row r="2646" spans="22:22" x14ac:dyDescent="0.25">
      <c r="V2646" s="6" t="str">
        <f t="shared" si="43"/>
        <v/>
      </c>
    </row>
    <row r="2647" spans="22:22" x14ac:dyDescent="0.25">
      <c r="V2647" s="6" t="str">
        <f t="shared" si="43"/>
        <v/>
      </c>
    </row>
    <row r="2648" spans="22:22" x14ac:dyDescent="0.25">
      <c r="V2648" s="6" t="str">
        <f t="shared" si="43"/>
        <v/>
      </c>
    </row>
    <row r="2649" spans="22:22" x14ac:dyDescent="0.25">
      <c r="V2649" s="6" t="str">
        <f t="shared" si="43"/>
        <v/>
      </c>
    </row>
    <row r="2650" spans="22:22" x14ac:dyDescent="0.25">
      <c r="V2650" s="6" t="str">
        <f t="shared" si="43"/>
        <v/>
      </c>
    </row>
    <row r="2651" spans="22:22" x14ac:dyDescent="0.25">
      <c r="V2651" s="6" t="str">
        <f t="shared" si="43"/>
        <v/>
      </c>
    </row>
    <row r="2652" spans="22:22" x14ac:dyDescent="0.25">
      <c r="V2652" s="6" t="str">
        <f t="shared" si="43"/>
        <v/>
      </c>
    </row>
    <row r="2653" spans="22:22" x14ac:dyDescent="0.25">
      <c r="V2653" s="6" t="str">
        <f t="shared" si="43"/>
        <v/>
      </c>
    </row>
    <row r="2654" spans="22:22" x14ac:dyDescent="0.25">
      <c r="V2654" s="6" t="str">
        <f t="shared" si="43"/>
        <v/>
      </c>
    </row>
    <row r="2655" spans="22:22" x14ac:dyDescent="0.25">
      <c r="V2655" s="6" t="str">
        <f t="shared" si="43"/>
        <v/>
      </c>
    </row>
    <row r="2656" spans="22:22" x14ac:dyDescent="0.25">
      <c r="V2656" s="6" t="str">
        <f t="shared" si="43"/>
        <v/>
      </c>
    </row>
    <row r="2657" spans="22:22" x14ac:dyDescent="0.25">
      <c r="V2657" s="6" t="str">
        <f t="shared" si="43"/>
        <v/>
      </c>
    </row>
    <row r="2658" spans="22:22" x14ac:dyDescent="0.25">
      <c r="V2658" s="6" t="str">
        <f t="shared" si="43"/>
        <v/>
      </c>
    </row>
    <row r="2659" spans="22:22" x14ac:dyDescent="0.25">
      <c r="V2659" s="6" t="str">
        <f t="shared" si="43"/>
        <v/>
      </c>
    </row>
    <row r="2660" spans="22:22" x14ac:dyDescent="0.25">
      <c r="V2660" s="6" t="str">
        <f t="shared" si="43"/>
        <v/>
      </c>
    </row>
    <row r="2661" spans="22:22" x14ac:dyDescent="0.25">
      <c r="V2661" s="6" t="str">
        <f t="shared" si="43"/>
        <v/>
      </c>
    </row>
    <row r="2662" spans="22:22" x14ac:dyDescent="0.25">
      <c r="V2662" s="6" t="str">
        <f t="shared" si="43"/>
        <v/>
      </c>
    </row>
    <row r="2663" spans="22:22" x14ac:dyDescent="0.25">
      <c r="V2663" s="6" t="str">
        <f t="shared" si="43"/>
        <v/>
      </c>
    </row>
    <row r="2664" spans="22:22" x14ac:dyDescent="0.25">
      <c r="V2664" s="6" t="str">
        <f t="shared" si="43"/>
        <v/>
      </c>
    </row>
    <row r="2665" spans="22:22" x14ac:dyDescent="0.25">
      <c r="V2665" s="6" t="str">
        <f t="shared" si="43"/>
        <v/>
      </c>
    </row>
    <row r="2666" spans="22:22" x14ac:dyDescent="0.25">
      <c r="V2666" s="6" t="str">
        <f t="shared" si="43"/>
        <v/>
      </c>
    </row>
    <row r="2667" spans="22:22" x14ac:dyDescent="0.25">
      <c r="V2667" s="6" t="str">
        <f t="shared" si="43"/>
        <v/>
      </c>
    </row>
    <row r="2668" spans="22:22" x14ac:dyDescent="0.25">
      <c r="V2668" s="6" t="str">
        <f t="shared" si="43"/>
        <v/>
      </c>
    </row>
    <row r="2669" spans="22:22" x14ac:dyDescent="0.25">
      <c r="V2669" s="6" t="str">
        <f t="shared" si="43"/>
        <v/>
      </c>
    </row>
    <row r="2670" spans="22:22" x14ac:dyDescent="0.25">
      <c r="V2670" s="6" t="str">
        <f t="shared" si="43"/>
        <v/>
      </c>
    </row>
    <row r="2671" spans="22:22" x14ac:dyDescent="0.25">
      <c r="V2671" s="6" t="str">
        <f t="shared" si="43"/>
        <v/>
      </c>
    </row>
    <row r="2672" spans="22:22" x14ac:dyDescent="0.25">
      <c r="V2672" s="6" t="str">
        <f t="shared" ref="V2672:V2735" si="44">IFERROR(DATEVALUE(D2672),"")</f>
        <v/>
      </c>
    </row>
    <row r="2673" spans="22:22" x14ac:dyDescent="0.25">
      <c r="V2673" s="6" t="str">
        <f t="shared" si="44"/>
        <v/>
      </c>
    </row>
    <row r="2674" spans="22:22" x14ac:dyDescent="0.25">
      <c r="V2674" s="6" t="str">
        <f t="shared" si="44"/>
        <v/>
      </c>
    </row>
    <row r="2675" spans="22:22" x14ac:dyDescent="0.25">
      <c r="V2675" s="6" t="str">
        <f t="shared" si="44"/>
        <v/>
      </c>
    </row>
    <row r="2676" spans="22:22" x14ac:dyDescent="0.25">
      <c r="V2676" s="6" t="str">
        <f t="shared" si="44"/>
        <v/>
      </c>
    </row>
    <row r="2677" spans="22:22" x14ac:dyDescent="0.25">
      <c r="V2677" s="6" t="str">
        <f t="shared" si="44"/>
        <v/>
      </c>
    </row>
    <row r="2678" spans="22:22" x14ac:dyDescent="0.25">
      <c r="V2678" s="6" t="str">
        <f t="shared" si="44"/>
        <v/>
      </c>
    </row>
    <row r="2679" spans="22:22" x14ac:dyDescent="0.25">
      <c r="V2679" s="6" t="str">
        <f t="shared" si="44"/>
        <v/>
      </c>
    </row>
    <row r="2680" spans="22:22" x14ac:dyDescent="0.25">
      <c r="V2680" s="6" t="str">
        <f t="shared" si="44"/>
        <v/>
      </c>
    </row>
    <row r="2681" spans="22:22" x14ac:dyDescent="0.25">
      <c r="V2681" s="6" t="str">
        <f t="shared" si="44"/>
        <v/>
      </c>
    </row>
    <row r="2682" spans="22:22" x14ac:dyDescent="0.25">
      <c r="V2682" s="6" t="str">
        <f t="shared" si="44"/>
        <v/>
      </c>
    </row>
    <row r="2683" spans="22:22" x14ac:dyDescent="0.25">
      <c r="V2683" s="6" t="str">
        <f t="shared" si="44"/>
        <v/>
      </c>
    </row>
    <row r="2684" spans="22:22" x14ac:dyDescent="0.25">
      <c r="V2684" s="6" t="str">
        <f t="shared" si="44"/>
        <v/>
      </c>
    </row>
    <row r="2685" spans="22:22" x14ac:dyDescent="0.25">
      <c r="V2685" s="6" t="str">
        <f t="shared" si="44"/>
        <v/>
      </c>
    </row>
    <row r="2686" spans="22:22" x14ac:dyDescent="0.25">
      <c r="V2686" s="6" t="str">
        <f t="shared" si="44"/>
        <v/>
      </c>
    </row>
    <row r="2687" spans="22:22" x14ac:dyDescent="0.25">
      <c r="V2687" s="6" t="str">
        <f t="shared" si="44"/>
        <v/>
      </c>
    </row>
    <row r="2688" spans="22:22" x14ac:dyDescent="0.25">
      <c r="V2688" s="6" t="str">
        <f t="shared" si="44"/>
        <v/>
      </c>
    </row>
    <row r="2689" spans="22:22" x14ac:dyDescent="0.25">
      <c r="V2689" s="6" t="str">
        <f t="shared" si="44"/>
        <v/>
      </c>
    </row>
    <row r="2690" spans="22:22" x14ac:dyDescent="0.25">
      <c r="V2690" s="6" t="str">
        <f t="shared" si="44"/>
        <v/>
      </c>
    </row>
    <row r="2691" spans="22:22" x14ac:dyDescent="0.25">
      <c r="V2691" s="6" t="str">
        <f t="shared" si="44"/>
        <v/>
      </c>
    </row>
    <row r="2692" spans="22:22" x14ac:dyDescent="0.25">
      <c r="V2692" s="6" t="str">
        <f t="shared" si="44"/>
        <v/>
      </c>
    </row>
    <row r="2693" spans="22:22" x14ac:dyDescent="0.25">
      <c r="V2693" s="6" t="str">
        <f t="shared" si="44"/>
        <v/>
      </c>
    </row>
    <row r="2694" spans="22:22" x14ac:dyDescent="0.25">
      <c r="V2694" s="6" t="str">
        <f t="shared" si="44"/>
        <v/>
      </c>
    </row>
    <row r="2695" spans="22:22" x14ac:dyDescent="0.25">
      <c r="V2695" s="6" t="str">
        <f t="shared" si="44"/>
        <v/>
      </c>
    </row>
    <row r="2696" spans="22:22" x14ac:dyDescent="0.25">
      <c r="V2696" s="6" t="str">
        <f t="shared" si="44"/>
        <v/>
      </c>
    </row>
    <row r="2697" spans="22:22" x14ac:dyDescent="0.25">
      <c r="V2697" s="6" t="str">
        <f t="shared" si="44"/>
        <v/>
      </c>
    </row>
    <row r="2698" spans="22:22" x14ac:dyDescent="0.25">
      <c r="V2698" s="6" t="str">
        <f t="shared" si="44"/>
        <v/>
      </c>
    </row>
    <row r="2699" spans="22:22" x14ac:dyDescent="0.25">
      <c r="V2699" s="6" t="str">
        <f t="shared" si="44"/>
        <v/>
      </c>
    </row>
    <row r="2700" spans="22:22" x14ac:dyDescent="0.25">
      <c r="V2700" s="6" t="str">
        <f t="shared" si="44"/>
        <v/>
      </c>
    </row>
    <row r="2701" spans="22:22" x14ac:dyDescent="0.25">
      <c r="V2701" s="6" t="str">
        <f t="shared" si="44"/>
        <v/>
      </c>
    </row>
    <row r="2702" spans="22:22" x14ac:dyDescent="0.25">
      <c r="V2702" s="6" t="str">
        <f t="shared" si="44"/>
        <v/>
      </c>
    </row>
    <row r="2703" spans="22:22" x14ac:dyDescent="0.25">
      <c r="V2703" s="6" t="str">
        <f t="shared" si="44"/>
        <v/>
      </c>
    </row>
    <row r="2704" spans="22:22" x14ac:dyDescent="0.25">
      <c r="V2704" s="6" t="str">
        <f t="shared" si="44"/>
        <v/>
      </c>
    </row>
    <row r="2705" spans="22:22" x14ac:dyDescent="0.25">
      <c r="V2705" s="6" t="str">
        <f t="shared" si="44"/>
        <v/>
      </c>
    </row>
    <row r="2706" spans="22:22" x14ac:dyDescent="0.25">
      <c r="V2706" s="6" t="str">
        <f t="shared" si="44"/>
        <v/>
      </c>
    </row>
    <row r="2707" spans="22:22" x14ac:dyDescent="0.25">
      <c r="V2707" s="6" t="str">
        <f t="shared" si="44"/>
        <v/>
      </c>
    </row>
    <row r="2708" spans="22:22" x14ac:dyDescent="0.25">
      <c r="V2708" s="6" t="str">
        <f t="shared" si="44"/>
        <v/>
      </c>
    </row>
    <row r="2709" spans="22:22" x14ac:dyDescent="0.25">
      <c r="V2709" s="6" t="str">
        <f t="shared" si="44"/>
        <v/>
      </c>
    </row>
    <row r="2710" spans="22:22" x14ac:dyDescent="0.25">
      <c r="V2710" s="6" t="str">
        <f t="shared" si="44"/>
        <v/>
      </c>
    </row>
    <row r="2711" spans="22:22" x14ac:dyDescent="0.25">
      <c r="V2711" s="6" t="str">
        <f t="shared" si="44"/>
        <v/>
      </c>
    </row>
    <row r="2712" spans="22:22" x14ac:dyDescent="0.25">
      <c r="V2712" s="6" t="str">
        <f t="shared" si="44"/>
        <v/>
      </c>
    </row>
    <row r="2713" spans="22:22" x14ac:dyDescent="0.25">
      <c r="V2713" s="6" t="str">
        <f t="shared" si="44"/>
        <v/>
      </c>
    </row>
    <row r="2714" spans="22:22" x14ac:dyDescent="0.25">
      <c r="V2714" s="6" t="str">
        <f t="shared" si="44"/>
        <v/>
      </c>
    </row>
    <row r="2715" spans="22:22" x14ac:dyDescent="0.25">
      <c r="V2715" s="6" t="str">
        <f t="shared" si="44"/>
        <v/>
      </c>
    </row>
    <row r="2716" spans="22:22" x14ac:dyDescent="0.25">
      <c r="V2716" s="6" t="str">
        <f t="shared" si="44"/>
        <v/>
      </c>
    </row>
    <row r="2717" spans="22:22" x14ac:dyDescent="0.25">
      <c r="V2717" s="6" t="str">
        <f t="shared" si="44"/>
        <v/>
      </c>
    </row>
    <row r="2718" spans="22:22" x14ac:dyDescent="0.25">
      <c r="V2718" s="6" t="str">
        <f t="shared" si="44"/>
        <v/>
      </c>
    </row>
    <row r="2719" spans="22:22" x14ac:dyDescent="0.25">
      <c r="V2719" s="6" t="str">
        <f t="shared" si="44"/>
        <v/>
      </c>
    </row>
    <row r="2720" spans="22:22" x14ac:dyDescent="0.25">
      <c r="V2720" s="6" t="str">
        <f t="shared" si="44"/>
        <v/>
      </c>
    </row>
    <row r="2721" spans="22:22" x14ac:dyDescent="0.25">
      <c r="V2721" s="6" t="str">
        <f t="shared" si="44"/>
        <v/>
      </c>
    </row>
    <row r="2722" spans="22:22" x14ac:dyDescent="0.25">
      <c r="V2722" s="6" t="str">
        <f t="shared" si="44"/>
        <v/>
      </c>
    </row>
    <row r="2723" spans="22:22" x14ac:dyDescent="0.25">
      <c r="V2723" s="6" t="str">
        <f t="shared" si="44"/>
        <v/>
      </c>
    </row>
    <row r="2724" spans="22:22" x14ac:dyDescent="0.25">
      <c r="V2724" s="6" t="str">
        <f t="shared" si="44"/>
        <v/>
      </c>
    </row>
    <row r="2725" spans="22:22" x14ac:dyDescent="0.25">
      <c r="V2725" s="6" t="str">
        <f t="shared" si="44"/>
        <v/>
      </c>
    </row>
    <row r="2726" spans="22:22" x14ac:dyDescent="0.25">
      <c r="V2726" s="6" t="str">
        <f t="shared" si="44"/>
        <v/>
      </c>
    </row>
    <row r="2727" spans="22:22" x14ac:dyDescent="0.25">
      <c r="V2727" s="6" t="str">
        <f t="shared" si="44"/>
        <v/>
      </c>
    </row>
    <row r="2728" spans="22:22" x14ac:dyDescent="0.25">
      <c r="V2728" s="6" t="str">
        <f t="shared" si="44"/>
        <v/>
      </c>
    </row>
    <row r="2729" spans="22:22" x14ac:dyDescent="0.25">
      <c r="V2729" s="6" t="str">
        <f t="shared" si="44"/>
        <v/>
      </c>
    </row>
    <row r="2730" spans="22:22" x14ac:dyDescent="0.25">
      <c r="V2730" s="6" t="str">
        <f t="shared" si="44"/>
        <v/>
      </c>
    </row>
    <row r="2731" spans="22:22" x14ac:dyDescent="0.25">
      <c r="V2731" s="6" t="str">
        <f t="shared" si="44"/>
        <v/>
      </c>
    </row>
    <row r="2732" spans="22:22" x14ac:dyDescent="0.25">
      <c r="V2732" s="6" t="str">
        <f t="shared" si="44"/>
        <v/>
      </c>
    </row>
    <row r="2733" spans="22:22" x14ac:dyDescent="0.25">
      <c r="V2733" s="6" t="str">
        <f t="shared" si="44"/>
        <v/>
      </c>
    </row>
    <row r="2734" spans="22:22" x14ac:dyDescent="0.25">
      <c r="V2734" s="6" t="str">
        <f t="shared" si="44"/>
        <v/>
      </c>
    </row>
    <row r="2735" spans="22:22" x14ac:dyDescent="0.25">
      <c r="V2735" s="6" t="str">
        <f t="shared" si="44"/>
        <v/>
      </c>
    </row>
    <row r="2736" spans="22:22" x14ac:dyDescent="0.25">
      <c r="V2736" s="6" t="str">
        <f t="shared" ref="V2736:V2799" si="45">IFERROR(DATEVALUE(D2736),"")</f>
        <v/>
      </c>
    </row>
    <row r="2737" spans="22:22" x14ac:dyDescent="0.25">
      <c r="V2737" s="6" t="str">
        <f t="shared" si="45"/>
        <v/>
      </c>
    </row>
    <row r="2738" spans="22:22" x14ac:dyDescent="0.25">
      <c r="V2738" s="6" t="str">
        <f t="shared" si="45"/>
        <v/>
      </c>
    </row>
    <row r="2739" spans="22:22" x14ac:dyDescent="0.25">
      <c r="V2739" s="6" t="str">
        <f t="shared" si="45"/>
        <v/>
      </c>
    </row>
    <row r="2740" spans="22:22" x14ac:dyDescent="0.25">
      <c r="V2740" s="6" t="str">
        <f t="shared" si="45"/>
        <v/>
      </c>
    </row>
    <row r="2741" spans="22:22" x14ac:dyDescent="0.25">
      <c r="V2741" s="6" t="str">
        <f t="shared" si="45"/>
        <v/>
      </c>
    </row>
    <row r="2742" spans="22:22" x14ac:dyDescent="0.25">
      <c r="V2742" s="6" t="str">
        <f t="shared" si="45"/>
        <v/>
      </c>
    </row>
    <row r="2743" spans="22:22" x14ac:dyDescent="0.25">
      <c r="V2743" s="6" t="str">
        <f t="shared" si="45"/>
        <v/>
      </c>
    </row>
    <row r="2744" spans="22:22" x14ac:dyDescent="0.25">
      <c r="V2744" s="6" t="str">
        <f t="shared" si="45"/>
        <v/>
      </c>
    </row>
    <row r="2745" spans="22:22" x14ac:dyDescent="0.25">
      <c r="V2745" s="6" t="str">
        <f t="shared" si="45"/>
        <v/>
      </c>
    </row>
    <row r="2746" spans="22:22" x14ac:dyDescent="0.25">
      <c r="V2746" s="6" t="str">
        <f t="shared" si="45"/>
        <v/>
      </c>
    </row>
    <row r="2747" spans="22:22" x14ac:dyDescent="0.25">
      <c r="V2747" s="6" t="str">
        <f t="shared" si="45"/>
        <v/>
      </c>
    </row>
    <row r="2748" spans="22:22" x14ac:dyDescent="0.25">
      <c r="V2748" s="6" t="str">
        <f t="shared" si="45"/>
        <v/>
      </c>
    </row>
    <row r="2749" spans="22:22" x14ac:dyDescent="0.25">
      <c r="V2749" s="6" t="str">
        <f t="shared" si="45"/>
        <v/>
      </c>
    </row>
    <row r="2750" spans="22:22" x14ac:dyDescent="0.25">
      <c r="V2750" s="6" t="str">
        <f t="shared" si="45"/>
        <v/>
      </c>
    </row>
    <row r="2751" spans="22:22" x14ac:dyDescent="0.25">
      <c r="V2751" s="6" t="str">
        <f t="shared" si="45"/>
        <v/>
      </c>
    </row>
    <row r="2752" spans="22:22" x14ac:dyDescent="0.25">
      <c r="V2752" s="6" t="str">
        <f t="shared" si="45"/>
        <v/>
      </c>
    </row>
    <row r="2753" spans="22:22" x14ac:dyDescent="0.25">
      <c r="V2753" s="6" t="str">
        <f t="shared" si="45"/>
        <v/>
      </c>
    </row>
    <row r="2754" spans="22:22" x14ac:dyDescent="0.25">
      <c r="V2754" s="6" t="str">
        <f t="shared" si="45"/>
        <v/>
      </c>
    </row>
    <row r="2755" spans="22:22" x14ac:dyDescent="0.25">
      <c r="V2755" s="6" t="str">
        <f t="shared" si="45"/>
        <v/>
      </c>
    </row>
    <row r="2756" spans="22:22" x14ac:dyDescent="0.25">
      <c r="V2756" s="6" t="str">
        <f t="shared" si="45"/>
        <v/>
      </c>
    </row>
    <row r="2757" spans="22:22" x14ac:dyDescent="0.25">
      <c r="V2757" s="6" t="str">
        <f t="shared" si="45"/>
        <v/>
      </c>
    </row>
    <row r="2758" spans="22:22" x14ac:dyDescent="0.25">
      <c r="V2758" s="6" t="str">
        <f t="shared" si="45"/>
        <v/>
      </c>
    </row>
    <row r="2759" spans="22:22" x14ac:dyDescent="0.25">
      <c r="V2759" s="6" t="str">
        <f t="shared" si="45"/>
        <v/>
      </c>
    </row>
    <row r="2760" spans="22:22" x14ac:dyDescent="0.25">
      <c r="V2760" s="6" t="str">
        <f t="shared" si="45"/>
        <v/>
      </c>
    </row>
    <row r="2761" spans="22:22" x14ac:dyDescent="0.25">
      <c r="V2761" s="6" t="str">
        <f t="shared" si="45"/>
        <v/>
      </c>
    </row>
    <row r="2762" spans="22:22" x14ac:dyDescent="0.25">
      <c r="V2762" s="6" t="str">
        <f t="shared" si="45"/>
        <v/>
      </c>
    </row>
    <row r="2763" spans="22:22" x14ac:dyDescent="0.25">
      <c r="V2763" s="6" t="str">
        <f t="shared" si="45"/>
        <v/>
      </c>
    </row>
    <row r="2764" spans="22:22" x14ac:dyDescent="0.25">
      <c r="V2764" s="6" t="str">
        <f t="shared" si="45"/>
        <v/>
      </c>
    </row>
    <row r="2765" spans="22:22" x14ac:dyDescent="0.25">
      <c r="V2765" s="6" t="str">
        <f t="shared" si="45"/>
        <v/>
      </c>
    </row>
    <row r="2766" spans="22:22" x14ac:dyDescent="0.25">
      <c r="V2766" s="6" t="str">
        <f t="shared" si="45"/>
        <v/>
      </c>
    </row>
    <row r="2767" spans="22:22" x14ac:dyDescent="0.25">
      <c r="V2767" s="6" t="str">
        <f t="shared" si="45"/>
        <v/>
      </c>
    </row>
    <row r="2768" spans="22:22" x14ac:dyDescent="0.25">
      <c r="V2768" s="6" t="str">
        <f t="shared" si="45"/>
        <v/>
      </c>
    </row>
    <row r="2769" spans="22:22" x14ac:dyDescent="0.25">
      <c r="V2769" s="6" t="str">
        <f t="shared" si="45"/>
        <v/>
      </c>
    </row>
    <row r="2770" spans="22:22" x14ac:dyDescent="0.25">
      <c r="V2770" s="6" t="str">
        <f t="shared" si="45"/>
        <v/>
      </c>
    </row>
    <row r="2771" spans="22:22" x14ac:dyDescent="0.25">
      <c r="V2771" s="6" t="str">
        <f t="shared" si="45"/>
        <v/>
      </c>
    </row>
    <row r="2772" spans="22:22" x14ac:dyDescent="0.25">
      <c r="V2772" s="6" t="str">
        <f t="shared" si="45"/>
        <v/>
      </c>
    </row>
    <row r="2773" spans="22:22" x14ac:dyDescent="0.25">
      <c r="V2773" s="6" t="str">
        <f t="shared" si="45"/>
        <v/>
      </c>
    </row>
    <row r="2774" spans="22:22" x14ac:dyDescent="0.25">
      <c r="V2774" s="6" t="str">
        <f t="shared" si="45"/>
        <v/>
      </c>
    </row>
    <row r="2775" spans="22:22" x14ac:dyDescent="0.25">
      <c r="V2775" s="6" t="str">
        <f t="shared" si="45"/>
        <v/>
      </c>
    </row>
    <row r="2776" spans="22:22" x14ac:dyDescent="0.25">
      <c r="V2776" s="6" t="str">
        <f t="shared" si="45"/>
        <v/>
      </c>
    </row>
    <row r="2777" spans="22:22" x14ac:dyDescent="0.25">
      <c r="V2777" s="6" t="str">
        <f t="shared" si="45"/>
        <v/>
      </c>
    </row>
    <row r="2778" spans="22:22" x14ac:dyDescent="0.25">
      <c r="V2778" s="6" t="str">
        <f t="shared" si="45"/>
        <v/>
      </c>
    </row>
    <row r="2779" spans="22:22" x14ac:dyDescent="0.25">
      <c r="V2779" s="6" t="str">
        <f t="shared" si="45"/>
        <v/>
      </c>
    </row>
    <row r="2780" spans="22:22" x14ac:dyDescent="0.25">
      <c r="V2780" s="6" t="str">
        <f t="shared" si="45"/>
        <v/>
      </c>
    </row>
    <row r="2781" spans="22:22" x14ac:dyDescent="0.25">
      <c r="V2781" s="6" t="str">
        <f t="shared" si="45"/>
        <v/>
      </c>
    </row>
    <row r="2782" spans="22:22" x14ac:dyDescent="0.25">
      <c r="V2782" s="6" t="str">
        <f t="shared" si="45"/>
        <v/>
      </c>
    </row>
    <row r="2783" spans="22:22" x14ac:dyDescent="0.25">
      <c r="V2783" s="6" t="str">
        <f t="shared" si="45"/>
        <v/>
      </c>
    </row>
    <row r="2784" spans="22:22" x14ac:dyDescent="0.25">
      <c r="V2784" s="6" t="str">
        <f t="shared" si="45"/>
        <v/>
      </c>
    </row>
    <row r="2785" spans="22:22" x14ac:dyDescent="0.25">
      <c r="V2785" s="6" t="str">
        <f t="shared" si="45"/>
        <v/>
      </c>
    </row>
    <row r="2786" spans="22:22" x14ac:dyDescent="0.25">
      <c r="V2786" s="6" t="str">
        <f t="shared" si="45"/>
        <v/>
      </c>
    </row>
    <row r="2787" spans="22:22" x14ac:dyDescent="0.25">
      <c r="V2787" s="6" t="str">
        <f t="shared" si="45"/>
        <v/>
      </c>
    </row>
    <row r="2788" spans="22:22" x14ac:dyDescent="0.25">
      <c r="V2788" s="6" t="str">
        <f t="shared" si="45"/>
        <v/>
      </c>
    </row>
    <row r="2789" spans="22:22" x14ac:dyDescent="0.25">
      <c r="V2789" s="6" t="str">
        <f t="shared" si="45"/>
        <v/>
      </c>
    </row>
    <row r="2790" spans="22:22" x14ac:dyDescent="0.25">
      <c r="V2790" s="6" t="str">
        <f t="shared" si="45"/>
        <v/>
      </c>
    </row>
    <row r="2791" spans="22:22" x14ac:dyDescent="0.25">
      <c r="V2791" s="6" t="str">
        <f t="shared" si="45"/>
        <v/>
      </c>
    </row>
    <row r="2792" spans="22:22" x14ac:dyDescent="0.25">
      <c r="V2792" s="6" t="str">
        <f t="shared" si="45"/>
        <v/>
      </c>
    </row>
    <row r="2793" spans="22:22" x14ac:dyDescent="0.25">
      <c r="V2793" s="6" t="str">
        <f t="shared" si="45"/>
        <v/>
      </c>
    </row>
    <row r="2794" spans="22:22" x14ac:dyDescent="0.25">
      <c r="V2794" s="6" t="str">
        <f t="shared" si="45"/>
        <v/>
      </c>
    </row>
    <row r="2795" spans="22:22" x14ac:dyDescent="0.25">
      <c r="V2795" s="6" t="str">
        <f t="shared" si="45"/>
        <v/>
      </c>
    </row>
    <row r="2796" spans="22:22" x14ac:dyDescent="0.25">
      <c r="V2796" s="6" t="str">
        <f t="shared" si="45"/>
        <v/>
      </c>
    </row>
    <row r="2797" spans="22:22" x14ac:dyDescent="0.25">
      <c r="V2797" s="6" t="str">
        <f t="shared" si="45"/>
        <v/>
      </c>
    </row>
    <row r="2798" spans="22:22" x14ac:dyDescent="0.25">
      <c r="V2798" s="6" t="str">
        <f t="shared" si="45"/>
        <v/>
      </c>
    </row>
    <row r="2799" spans="22:22" x14ac:dyDescent="0.25">
      <c r="V2799" s="6" t="str">
        <f t="shared" si="45"/>
        <v/>
      </c>
    </row>
    <row r="2800" spans="22:22" x14ac:dyDescent="0.25">
      <c r="V2800" s="6" t="str">
        <f t="shared" ref="V2800:V2863" si="46">IFERROR(DATEVALUE(D2800),"")</f>
        <v/>
      </c>
    </row>
    <row r="2801" spans="22:22" x14ac:dyDescent="0.25">
      <c r="V2801" s="6" t="str">
        <f t="shared" si="46"/>
        <v/>
      </c>
    </row>
    <row r="2802" spans="22:22" x14ac:dyDescent="0.25">
      <c r="V2802" s="6" t="str">
        <f t="shared" si="46"/>
        <v/>
      </c>
    </row>
    <row r="2803" spans="22:22" x14ac:dyDescent="0.25">
      <c r="V2803" s="6" t="str">
        <f t="shared" si="46"/>
        <v/>
      </c>
    </row>
    <row r="2804" spans="22:22" x14ac:dyDescent="0.25">
      <c r="V2804" s="6" t="str">
        <f t="shared" si="46"/>
        <v/>
      </c>
    </row>
    <row r="2805" spans="22:22" x14ac:dyDescent="0.25">
      <c r="V2805" s="6" t="str">
        <f t="shared" si="46"/>
        <v/>
      </c>
    </row>
    <row r="2806" spans="22:22" x14ac:dyDescent="0.25">
      <c r="V2806" s="6" t="str">
        <f t="shared" si="46"/>
        <v/>
      </c>
    </row>
    <row r="2807" spans="22:22" x14ac:dyDescent="0.25">
      <c r="V2807" s="6" t="str">
        <f t="shared" si="46"/>
        <v/>
      </c>
    </row>
    <row r="2808" spans="22:22" x14ac:dyDescent="0.25">
      <c r="V2808" s="6" t="str">
        <f t="shared" si="46"/>
        <v/>
      </c>
    </row>
    <row r="2809" spans="22:22" x14ac:dyDescent="0.25">
      <c r="V2809" s="6" t="str">
        <f t="shared" si="46"/>
        <v/>
      </c>
    </row>
    <row r="2810" spans="22:22" x14ac:dyDescent="0.25">
      <c r="V2810" s="6" t="str">
        <f t="shared" si="46"/>
        <v/>
      </c>
    </row>
    <row r="2811" spans="22:22" x14ac:dyDescent="0.25">
      <c r="V2811" s="6" t="str">
        <f t="shared" si="46"/>
        <v/>
      </c>
    </row>
    <row r="2812" spans="22:22" x14ac:dyDescent="0.25">
      <c r="V2812" s="6" t="str">
        <f t="shared" si="46"/>
        <v/>
      </c>
    </row>
    <row r="2813" spans="22:22" x14ac:dyDescent="0.25">
      <c r="V2813" s="6" t="str">
        <f t="shared" si="46"/>
        <v/>
      </c>
    </row>
    <row r="2814" spans="22:22" x14ac:dyDescent="0.25">
      <c r="V2814" s="6" t="str">
        <f t="shared" si="46"/>
        <v/>
      </c>
    </row>
    <row r="2815" spans="22:22" x14ac:dyDescent="0.25">
      <c r="V2815" s="6" t="str">
        <f t="shared" si="46"/>
        <v/>
      </c>
    </row>
    <row r="2816" spans="22:22" x14ac:dyDescent="0.25">
      <c r="V2816" s="6" t="str">
        <f t="shared" si="46"/>
        <v/>
      </c>
    </row>
    <row r="2817" spans="22:22" x14ac:dyDescent="0.25">
      <c r="V2817" s="6" t="str">
        <f t="shared" si="46"/>
        <v/>
      </c>
    </row>
    <row r="2818" spans="22:22" x14ac:dyDescent="0.25">
      <c r="V2818" s="6" t="str">
        <f t="shared" si="46"/>
        <v/>
      </c>
    </row>
    <row r="2819" spans="22:22" x14ac:dyDescent="0.25">
      <c r="V2819" s="6" t="str">
        <f t="shared" si="46"/>
        <v/>
      </c>
    </row>
    <row r="2820" spans="22:22" x14ac:dyDescent="0.25">
      <c r="V2820" s="6" t="str">
        <f t="shared" si="46"/>
        <v/>
      </c>
    </row>
    <row r="2821" spans="22:22" x14ac:dyDescent="0.25">
      <c r="V2821" s="6" t="str">
        <f t="shared" si="46"/>
        <v/>
      </c>
    </row>
    <row r="2822" spans="22:22" x14ac:dyDescent="0.25">
      <c r="V2822" s="6" t="str">
        <f t="shared" si="46"/>
        <v/>
      </c>
    </row>
    <row r="2823" spans="22:22" x14ac:dyDescent="0.25">
      <c r="V2823" s="6" t="str">
        <f t="shared" si="46"/>
        <v/>
      </c>
    </row>
    <row r="2824" spans="22:22" x14ac:dyDescent="0.25">
      <c r="V2824" s="6" t="str">
        <f t="shared" si="46"/>
        <v/>
      </c>
    </row>
    <row r="2825" spans="22:22" x14ac:dyDescent="0.25">
      <c r="V2825" s="6" t="str">
        <f t="shared" si="46"/>
        <v/>
      </c>
    </row>
    <row r="2826" spans="22:22" x14ac:dyDescent="0.25">
      <c r="V2826" s="6" t="str">
        <f t="shared" si="46"/>
        <v/>
      </c>
    </row>
    <row r="2827" spans="22:22" x14ac:dyDescent="0.25">
      <c r="V2827" s="6" t="str">
        <f t="shared" si="46"/>
        <v/>
      </c>
    </row>
    <row r="2828" spans="22:22" x14ac:dyDescent="0.25">
      <c r="V2828" s="6" t="str">
        <f t="shared" si="46"/>
        <v/>
      </c>
    </row>
    <row r="2829" spans="22:22" x14ac:dyDescent="0.25">
      <c r="V2829" s="6" t="str">
        <f t="shared" si="46"/>
        <v/>
      </c>
    </row>
    <row r="2830" spans="22:22" x14ac:dyDescent="0.25">
      <c r="V2830" s="6" t="str">
        <f t="shared" si="46"/>
        <v/>
      </c>
    </row>
    <row r="2831" spans="22:22" x14ac:dyDescent="0.25">
      <c r="V2831" s="6" t="str">
        <f t="shared" si="46"/>
        <v/>
      </c>
    </row>
    <row r="2832" spans="22:22" x14ac:dyDescent="0.25">
      <c r="V2832" s="6" t="str">
        <f t="shared" si="46"/>
        <v/>
      </c>
    </row>
    <row r="2833" spans="22:22" x14ac:dyDescent="0.25">
      <c r="V2833" s="6" t="str">
        <f t="shared" si="46"/>
        <v/>
      </c>
    </row>
    <row r="2834" spans="22:22" x14ac:dyDescent="0.25">
      <c r="V2834" s="6" t="str">
        <f t="shared" si="46"/>
        <v/>
      </c>
    </row>
    <row r="2835" spans="22:22" x14ac:dyDescent="0.25">
      <c r="V2835" s="6" t="str">
        <f t="shared" si="46"/>
        <v/>
      </c>
    </row>
    <row r="2836" spans="22:22" x14ac:dyDescent="0.25">
      <c r="V2836" s="6" t="str">
        <f t="shared" si="46"/>
        <v/>
      </c>
    </row>
    <row r="2837" spans="22:22" x14ac:dyDescent="0.25">
      <c r="V2837" s="6" t="str">
        <f t="shared" si="46"/>
        <v/>
      </c>
    </row>
    <row r="2838" spans="22:22" x14ac:dyDescent="0.25">
      <c r="V2838" s="6" t="str">
        <f t="shared" si="46"/>
        <v/>
      </c>
    </row>
    <row r="2839" spans="22:22" x14ac:dyDescent="0.25">
      <c r="V2839" s="6" t="str">
        <f t="shared" si="46"/>
        <v/>
      </c>
    </row>
    <row r="2840" spans="22:22" x14ac:dyDescent="0.25">
      <c r="V2840" s="6" t="str">
        <f t="shared" si="46"/>
        <v/>
      </c>
    </row>
    <row r="2841" spans="22:22" x14ac:dyDescent="0.25">
      <c r="V2841" s="6" t="str">
        <f t="shared" si="46"/>
        <v/>
      </c>
    </row>
    <row r="2842" spans="22:22" x14ac:dyDescent="0.25">
      <c r="V2842" s="6" t="str">
        <f t="shared" si="46"/>
        <v/>
      </c>
    </row>
    <row r="2843" spans="22:22" x14ac:dyDescent="0.25">
      <c r="V2843" s="6" t="str">
        <f t="shared" si="46"/>
        <v/>
      </c>
    </row>
    <row r="2844" spans="22:22" x14ac:dyDescent="0.25">
      <c r="V2844" s="6" t="str">
        <f t="shared" si="46"/>
        <v/>
      </c>
    </row>
    <row r="2845" spans="22:22" x14ac:dyDescent="0.25">
      <c r="V2845" s="6" t="str">
        <f t="shared" si="46"/>
        <v/>
      </c>
    </row>
    <row r="2846" spans="22:22" x14ac:dyDescent="0.25">
      <c r="V2846" s="6" t="str">
        <f t="shared" si="46"/>
        <v/>
      </c>
    </row>
    <row r="2847" spans="22:22" x14ac:dyDescent="0.25">
      <c r="V2847" s="6" t="str">
        <f t="shared" si="46"/>
        <v/>
      </c>
    </row>
    <row r="2848" spans="22:22" x14ac:dyDescent="0.25">
      <c r="V2848" s="6" t="str">
        <f t="shared" si="46"/>
        <v/>
      </c>
    </row>
    <row r="2849" spans="22:22" x14ac:dyDescent="0.25">
      <c r="V2849" s="6" t="str">
        <f t="shared" si="46"/>
        <v/>
      </c>
    </row>
    <row r="2850" spans="22:22" x14ac:dyDescent="0.25">
      <c r="V2850" s="6" t="str">
        <f t="shared" si="46"/>
        <v/>
      </c>
    </row>
    <row r="2851" spans="22:22" x14ac:dyDescent="0.25">
      <c r="V2851" s="6" t="str">
        <f t="shared" si="46"/>
        <v/>
      </c>
    </row>
    <row r="2852" spans="22:22" x14ac:dyDescent="0.25">
      <c r="V2852" s="6" t="str">
        <f t="shared" si="46"/>
        <v/>
      </c>
    </row>
    <row r="2853" spans="22:22" x14ac:dyDescent="0.25">
      <c r="V2853" s="6" t="str">
        <f t="shared" si="46"/>
        <v/>
      </c>
    </row>
    <row r="2854" spans="22:22" x14ac:dyDescent="0.25">
      <c r="V2854" s="6" t="str">
        <f t="shared" si="46"/>
        <v/>
      </c>
    </row>
    <row r="2855" spans="22:22" x14ac:dyDescent="0.25">
      <c r="V2855" s="6" t="str">
        <f t="shared" si="46"/>
        <v/>
      </c>
    </row>
    <row r="2856" spans="22:22" x14ac:dyDescent="0.25">
      <c r="V2856" s="6" t="str">
        <f t="shared" si="46"/>
        <v/>
      </c>
    </row>
    <row r="2857" spans="22:22" x14ac:dyDescent="0.25">
      <c r="V2857" s="6" t="str">
        <f t="shared" si="46"/>
        <v/>
      </c>
    </row>
    <row r="2858" spans="22:22" x14ac:dyDescent="0.25">
      <c r="V2858" s="6" t="str">
        <f t="shared" si="46"/>
        <v/>
      </c>
    </row>
    <row r="2859" spans="22:22" x14ac:dyDescent="0.25">
      <c r="V2859" s="6" t="str">
        <f t="shared" si="46"/>
        <v/>
      </c>
    </row>
    <row r="2860" spans="22:22" x14ac:dyDescent="0.25">
      <c r="V2860" s="6" t="str">
        <f t="shared" si="46"/>
        <v/>
      </c>
    </row>
    <row r="2861" spans="22:22" x14ac:dyDescent="0.25">
      <c r="V2861" s="6" t="str">
        <f t="shared" si="46"/>
        <v/>
      </c>
    </row>
    <row r="2862" spans="22:22" x14ac:dyDescent="0.25">
      <c r="V2862" s="6" t="str">
        <f t="shared" si="46"/>
        <v/>
      </c>
    </row>
    <row r="2863" spans="22:22" x14ac:dyDescent="0.25">
      <c r="V2863" s="6" t="str">
        <f t="shared" si="46"/>
        <v/>
      </c>
    </row>
    <row r="2864" spans="22:22" x14ac:dyDescent="0.25">
      <c r="V2864" s="6" t="str">
        <f t="shared" ref="V2864:V2927" si="47">IFERROR(DATEVALUE(D2864),"")</f>
        <v/>
      </c>
    </row>
    <row r="2865" spans="22:22" x14ac:dyDescent="0.25">
      <c r="V2865" s="6" t="str">
        <f t="shared" si="47"/>
        <v/>
      </c>
    </row>
    <row r="2866" spans="22:22" x14ac:dyDescent="0.25">
      <c r="V2866" s="6" t="str">
        <f t="shared" si="47"/>
        <v/>
      </c>
    </row>
    <row r="2867" spans="22:22" x14ac:dyDescent="0.25">
      <c r="V2867" s="6" t="str">
        <f t="shared" si="47"/>
        <v/>
      </c>
    </row>
    <row r="2868" spans="22:22" x14ac:dyDescent="0.25">
      <c r="V2868" s="6" t="str">
        <f t="shared" si="47"/>
        <v/>
      </c>
    </row>
    <row r="2869" spans="22:22" x14ac:dyDescent="0.25">
      <c r="V2869" s="6" t="str">
        <f t="shared" si="47"/>
        <v/>
      </c>
    </row>
    <row r="2870" spans="22:22" x14ac:dyDescent="0.25">
      <c r="V2870" s="6" t="str">
        <f t="shared" si="47"/>
        <v/>
      </c>
    </row>
    <row r="2871" spans="22:22" x14ac:dyDescent="0.25">
      <c r="V2871" s="6" t="str">
        <f t="shared" si="47"/>
        <v/>
      </c>
    </row>
    <row r="2872" spans="22:22" x14ac:dyDescent="0.25">
      <c r="V2872" s="6" t="str">
        <f t="shared" si="47"/>
        <v/>
      </c>
    </row>
    <row r="2873" spans="22:22" x14ac:dyDescent="0.25">
      <c r="V2873" s="6" t="str">
        <f t="shared" si="47"/>
        <v/>
      </c>
    </row>
    <row r="2874" spans="22:22" x14ac:dyDescent="0.25">
      <c r="V2874" s="6" t="str">
        <f t="shared" si="47"/>
        <v/>
      </c>
    </row>
    <row r="2875" spans="22:22" x14ac:dyDescent="0.25">
      <c r="V2875" s="6" t="str">
        <f t="shared" si="47"/>
        <v/>
      </c>
    </row>
    <row r="2876" spans="22:22" x14ac:dyDescent="0.25">
      <c r="V2876" s="6" t="str">
        <f t="shared" si="47"/>
        <v/>
      </c>
    </row>
    <row r="2877" spans="22:22" x14ac:dyDescent="0.25">
      <c r="V2877" s="6" t="str">
        <f t="shared" si="47"/>
        <v/>
      </c>
    </row>
    <row r="2878" spans="22:22" x14ac:dyDescent="0.25">
      <c r="V2878" s="6" t="str">
        <f t="shared" si="47"/>
        <v/>
      </c>
    </row>
    <row r="2879" spans="22:22" x14ac:dyDescent="0.25">
      <c r="V2879" s="6" t="str">
        <f t="shared" si="47"/>
        <v/>
      </c>
    </row>
    <row r="2880" spans="22:22" x14ac:dyDescent="0.25">
      <c r="V2880" s="6" t="str">
        <f t="shared" si="47"/>
        <v/>
      </c>
    </row>
    <row r="2881" spans="22:22" x14ac:dyDescent="0.25">
      <c r="V2881" s="6" t="str">
        <f t="shared" si="47"/>
        <v/>
      </c>
    </row>
    <row r="2882" spans="22:22" x14ac:dyDescent="0.25">
      <c r="V2882" s="6" t="str">
        <f t="shared" si="47"/>
        <v/>
      </c>
    </row>
    <row r="2883" spans="22:22" x14ac:dyDescent="0.25">
      <c r="V2883" s="6" t="str">
        <f t="shared" si="47"/>
        <v/>
      </c>
    </row>
    <row r="2884" spans="22:22" x14ac:dyDescent="0.25">
      <c r="V2884" s="6" t="str">
        <f t="shared" si="47"/>
        <v/>
      </c>
    </row>
    <row r="2885" spans="22:22" x14ac:dyDescent="0.25">
      <c r="V2885" s="6" t="str">
        <f t="shared" si="47"/>
        <v/>
      </c>
    </row>
    <row r="2886" spans="22:22" x14ac:dyDescent="0.25">
      <c r="V2886" s="6" t="str">
        <f t="shared" si="47"/>
        <v/>
      </c>
    </row>
    <row r="2887" spans="22:22" x14ac:dyDescent="0.25">
      <c r="V2887" s="6" t="str">
        <f t="shared" si="47"/>
        <v/>
      </c>
    </row>
    <row r="2888" spans="22:22" x14ac:dyDescent="0.25">
      <c r="V2888" s="6" t="str">
        <f t="shared" si="47"/>
        <v/>
      </c>
    </row>
    <row r="2889" spans="22:22" x14ac:dyDescent="0.25">
      <c r="V2889" s="6" t="str">
        <f t="shared" si="47"/>
        <v/>
      </c>
    </row>
    <row r="2890" spans="22:22" x14ac:dyDescent="0.25">
      <c r="V2890" s="6" t="str">
        <f t="shared" si="47"/>
        <v/>
      </c>
    </row>
    <row r="2891" spans="22:22" x14ac:dyDescent="0.25">
      <c r="V2891" s="6" t="str">
        <f t="shared" si="47"/>
        <v/>
      </c>
    </row>
    <row r="2892" spans="22:22" x14ac:dyDescent="0.25">
      <c r="V2892" s="6" t="str">
        <f t="shared" si="47"/>
        <v/>
      </c>
    </row>
    <row r="2893" spans="22:22" x14ac:dyDescent="0.25">
      <c r="V2893" s="6" t="str">
        <f t="shared" si="47"/>
        <v/>
      </c>
    </row>
    <row r="2894" spans="22:22" x14ac:dyDescent="0.25">
      <c r="V2894" s="6" t="str">
        <f t="shared" si="47"/>
        <v/>
      </c>
    </row>
    <row r="2895" spans="22:22" x14ac:dyDescent="0.25">
      <c r="V2895" s="6" t="str">
        <f t="shared" si="47"/>
        <v/>
      </c>
    </row>
    <row r="2896" spans="22:22" x14ac:dyDescent="0.25">
      <c r="V2896" s="6" t="str">
        <f t="shared" si="47"/>
        <v/>
      </c>
    </row>
    <row r="2897" spans="22:22" x14ac:dyDescent="0.25">
      <c r="V2897" s="6" t="str">
        <f t="shared" si="47"/>
        <v/>
      </c>
    </row>
    <row r="2898" spans="22:22" x14ac:dyDescent="0.25">
      <c r="V2898" s="6" t="str">
        <f t="shared" si="47"/>
        <v/>
      </c>
    </row>
    <row r="2899" spans="22:22" x14ac:dyDescent="0.25">
      <c r="V2899" s="6" t="str">
        <f t="shared" si="47"/>
        <v/>
      </c>
    </row>
    <row r="2900" spans="22:22" x14ac:dyDescent="0.25">
      <c r="V2900" s="6" t="str">
        <f t="shared" si="47"/>
        <v/>
      </c>
    </row>
    <row r="2901" spans="22:22" x14ac:dyDescent="0.25">
      <c r="V2901" s="6" t="str">
        <f t="shared" si="47"/>
        <v/>
      </c>
    </row>
    <row r="2902" spans="22:22" x14ac:dyDescent="0.25">
      <c r="V2902" s="6" t="str">
        <f t="shared" si="47"/>
        <v/>
      </c>
    </row>
    <row r="2903" spans="22:22" x14ac:dyDescent="0.25">
      <c r="V2903" s="6" t="str">
        <f t="shared" si="47"/>
        <v/>
      </c>
    </row>
    <row r="2904" spans="22:22" x14ac:dyDescent="0.25">
      <c r="V2904" s="6" t="str">
        <f t="shared" si="47"/>
        <v/>
      </c>
    </row>
    <row r="2905" spans="22:22" x14ac:dyDescent="0.25">
      <c r="V2905" s="6" t="str">
        <f t="shared" si="47"/>
        <v/>
      </c>
    </row>
    <row r="2906" spans="22:22" x14ac:dyDescent="0.25">
      <c r="V2906" s="6" t="str">
        <f t="shared" si="47"/>
        <v/>
      </c>
    </row>
    <row r="2907" spans="22:22" x14ac:dyDescent="0.25">
      <c r="V2907" s="6" t="str">
        <f t="shared" si="47"/>
        <v/>
      </c>
    </row>
    <row r="2908" spans="22:22" x14ac:dyDescent="0.25">
      <c r="V2908" s="6" t="str">
        <f t="shared" si="47"/>
        <v/>
      </c>
    </row>
    <row r="2909" spans="22:22" x14ac:dyDescent="0.25">
      <c r="V2909" s="6" t="str">
        <f t="shared" si="47"/>
        <v/>
      </c>
    </row>
    <row r="2910" spans="22:22" x14ac:dyDescent="0.25">
      <c r="V2910" s="6" t="str">
        <f t="shared" si="47"/>
        <v/>
      </c>
    </row>
    <row r="2911" spans="22:22" x14ac:dyDescent="0.25">
      <c r="V2911" s="6" t="str">
        <f t="shared" si="47"/>
        <v/>
      </c>
    </row>
    <row r="2912" spans="22:22" x14ac:dyDescent="0.25">
      <c r="V2912" s="6" t="str">
        <f t="shared" si="47"/>
        <v/>
      </c>
    </row>
    <row r="2913" spans="22:22" x14ac:dyDescent="0.25">
      <c r="V2913" s="6" t="str">
        <f t="shared" si="47"/>
        <v/>
      </c>
    </row>
    <row r="2914" spans="22:22" x14ac:dyDescent="0.25">
      <c r="V2914" s="6" t="str">
        <f t="shared" si="47"/>
        <v/>
      </c>
    </row>
    <row r="2915" spans="22:22" x14ac:dyDescent="0.25">
      <c r="V2915" s="6" t="str">
        <f t="shared" si="47"/>
        <v/>
      </c>
    </row>
    <row r="2916" spans="22:22" x14ac:dyDescent="0.25">
      <c r="V2916" s="6" t="str">
        <f t="shared" si="47"/>
        <v/>
      </c>
    </row>
    <row r="2917" spans="22:22" x14ac:dyDescent="0.25">
      <c r="V2917" s="6" t="str">
        <f t="shared" si="47"/>
        <v/>
      </c>
    </row>
    <row r="2918" spans="22:22" x14ac:dyDescent="0.25">
      <c r="V2918" s="6" t="str">
        <f t="shared" si="47"/>
        <v/>
      </c>
    </row>
    <row r="2919" spans="22:22" x14ac:dyDescent="0.25">
      <c r="V2919" s="6" t="str">
        <f t="shared" si="47"/>
        <v/>
      </c>
    </row>
    <row r="2920" spans="22:22" x14ac:dyDescent="0.25">
      <c r="V2920" s="6" t="str">
        <f t="shared" si="47"/>
        <v/>
      </c>
    </row>
    <row r="2921" spans="22:22" x14ac:dyDescent="0.25">
      <c r="V2921" s="6" t="str">
        <f t="shared" si="47"/>
        <v/>
      </c>
    </row>
    <row r="2922" spans="22:22" x14ac:dyDescent="0.25">
      <c r="V2922" s="6" t="str">
        <f t="shared" si="47"/>
        <v/>
      </c>
    </row>
    <row r="2923" spans="22:22" x14ac:dyDescent="0.25">
      <c r="V2923" s="6" t="str">
        <f t="shared" si="47"/>
        <v/>
      </c>
    </row>
    <row r="2924" spans="22:22" x14ac:dyDescent="0.25">
      <c r="V2924" s="6" t="str">
        <f t="shared" si="47"/>
        <v/>
      </c>
    </row>
    <row r="2925" spans="22:22" x14ac:dyDescent="0.25">
      <c r="V2925" s="6" t="str">
        <f t="shared" si="47"/>
        <v/>
      </c>
    </row>
    <row r="2926" spans="22:22" x14ac:dyDescent="0.25">
      <c r="V2926" s="6" t="str">
        <f t="shared" si="47"/>
        <v/>
      </c>
    </row>
    <row r="2927" spans="22:22" x14ac:dyDescent="0.25">
      <c r="V2927" s="6" t="str">
        <f t="shared" si="47"/>
        <v/>
      </c>
    </row>
    <row r="2928" spans="22:22" x14ac:dyDescent="0.25">
      <c r="V2928" s="6" t="str">
        <f t="shared" ref="V2928:V2991" si="48">IFERROR(DATEVALUE(D2928),"")</f>
        <v/>
      </c>
    </row>
    <row r="2929" spans="22:22" x14ac:dyDescent="0.25">
      <c r="V2929" s="6" t="str">
        <f t="shared" si="48"/>
        <v/>
      </c>
    </row>
    <row r="2930" spans="22:22" x14ac:dyDescent="0.25">
      <c r="V2930" s="6" t="str">
        <f t="shared" si="48"/>
        <v/>
      </c>
    </row>
    <row r="2931" spans="22:22" x14ac:dyDescent="0.25">
      <c r="V2931" s="6" t="str">
        <f t="shared" si="48"/>
        <v/>
      </c>
    </row>
    <row r="2932" spans="22:22" x14ac:dyDescent="0.25">
      <c r="V2932" s="6" t="str">
        <f t="shared" si="48"/>
        <v/>
      </c>
    </row>
    <row r="2933" spans="22:22" x14ac:dyDescent="0.25">
      <c r="V2933" s="6" t="str">
        <f t="shared" si="48"/>
        <v/>
      </c>
    </row>
    <row r="2934" spans="22:22" x14ac:dyDescent="0.25">
      <c r="V2934" s="6" t="str">
        <f t="shared" si="48"/>
        <v/>
      </c>
    </row>
    <row r="2935" spans="22:22" x14ac:dyDescent="0.25">
      <c r="V2935" s="6" t="str">
        <f t="shared" si="48"/>
        <v/>
      </c>
    </row>
    <row r="2936" spans="22:22" x14ac:dyDescent="0.25">
      <c r="V2936" s="6" t="str">
        <f t="shared" si="48"/>
        <v/>
      </c>
    </row>
    <row r="2937" spans="22:22" x14ac:dyDescent="0.25">
      <c r="V2937" s="6" t="str">
        <f t="shared" si="48"/>
        <v/>
      </c>
    </row>
    <row r="2938" spans="22:22" x14ac:dyDescent="0.25">
      <c r="V2938" s="6" t="str">
        <f t="shared" si="48"/>
        <v/>
      </c>
    </row>
    <row r="2939" spans="22:22" x14ac:dyDescent="0.25">
      <c r="V2939" s="6" t="str">
        <f t="shared" si="48"/>
        <v/>
      </c>
    </row>
    <row r="2940" spans="22:22" x14ac:dyDescent="0.25">
      <c r="V2940" s="6" t="str">
        <f t="shared" si="48"/>
        <v/>
      </c>
    </row>
    <row r="2941" spans="22:22" x14ac:dyDescent="0.25">
      <c r="V2941" s="6" t="str">
        <f t="shared" si="48"/>
        <v/>
      </c>
    </row>
    <row r="2942" spans="22:22" x14ac:dyDescent="0.25">
      <c r="V2942" s="6" t="str">
        <f t="shared" si="48"/>
        <v/>
      </c>
    </row>
    <row r="2943" spans="22:22" x14ac:dyDescent="0.25">
      <c r="V2943" s="6" t="str">
        <f t="shared" si="48"/>
        <v/>
      </c>
    </row>
    <row r="2944" spans="22:22" x14ac:dyDescent="0.25">
      <c r="V2944" s="6" t="str">
        <f t="shared" si="48"/>
        <v/>
      </c>
    </row>
    <row r="2945" spans="22:22" x14ac:dyDescent="0.25">
      <c r="V2945" s="6" t="str">
        <f t="shared" si="48"/>
        <v/>
      </c>
    </row>
    <row r="2946" spans="22:22" x14ac:dyDescent="0.25">
      <c r="V2946" s="6" t="str">
        <f t="shared" si="48"/>
        <v/>
      </c>
    </row>
    <row r="2947" spans="22:22" x14ac:dyDescent="0.25">
      <c r="V2947" s="6" t="str">
        <f t="shared" si="48"/>
        <v/>
      </c>
    </row>
    <row r="2948" spans="22:22" x14ac:dyDescent="0.25">
      <c r="V2948" s="6" t="str">
        <f t="shared" si="48"/>
        <v/>
      </c>
    </row>
    <row r="2949" spans="22:22" x14ac:dyDescent="0.25">
      <c r="V2949" s="6" t="str">
        <f t="shared" si="48"/>
        <v/>
      </c>
    </row>
    <row r="2950" spans="22:22" x14ac:dyDescent="0.25">
      <c r="V2950" s="6" t="str">
        <f t="shared" si="48"/>
        <v/>
      </c>
    </row>
    <row r="2951" spans="22:22" x14ac:dyDescent="0.25">
      <c r="V2951" s="6" t="str">
        <f t="shared" si="48"/>
        <v/>
      </c>
    </row>
    <row r="2952" spans="22:22" x14ac:dyDescent="0.25">
      <c r="V2952" s="6" t="str">
        <f t="shared" si="48"/>
        <v/>
      </c>
    </row>
    <row r="2953" spans="22:22" x14ac:dyDescent="0.25">
      <c r="V2953" s="6" t="str">
        <f t="shared" si="48"/>
        <v/>
      </c>
    </row>
    <row r="2954" spans="22:22" x14ac:dyDescent="0.25">
      <c r="V2954" s="6" t="str">
        <f t="shared" si="48"/>
        <v/>
      </c>
    </row>
    <row r="2955" spans="22:22" x14ac:dyDescent="0.25">
      <c r="V2955" s="6" t="str">
        <f t="shared" si="48"/>
        <v/>
      </c>
    </row>
    <row r="2956" spans="22:22" x14ac:dyDescent="0.25">
      <c r="V2956" s="6" t="str">
        <f t="shared" si="48"/>
        <v/>
      </c>
    </row>
    <row r="2957" spans="22:22" x14ac:dyDescent="0.25">
      <c r="V2957" s="6" t="str">
        <f t="shared" si="48"/>
        <v/>
      </c>
    </row>
    <row r="2958" spans="22:22" x14ac:dyDescent="0.25">
      <c r="V2958" s="6" t="str">
        <f t="shared" si="48"/>
        <v/>
      </c>
    </row>
    <row r="2959" spans="22:22" x14ac:dyDescent="0.25">
      <c r="V2959" s="6" t="str">
        <f t="shared" si="48"/>
        <v/>
      </c>
    </row>
    <row r="2960" spans="22:22" x14ac:dyDescent="0.25">
      <c r="V2960" s="6" t="str">
        <f t="shared" si="48"/>
        <v/>
      </c>
    </row>
    <row r="2961" spans="22:22" x14ac:dyDescent="0.25">
      <c r="V2961" s="6" t="str">
        <f t="shared" si="48"/>
        <v/>
      </c>
    </row>
    <row r="2962" spans="22:22" x14ac:dyDescent="0.25">
      <c r="V2962" s="6" t="str">
        <f t="shared" si="48"/>
        <v/>
      </c>
    </row>
    <row r="2963" spans="22:22" x14ac:dyDescent="0.25">
      <c r="V2963" s="6" t="str">
        <f t="shared" si="48"/>
        <v/>
      </c>
    </row>
    <row r="2964" spans="22:22" x14ac:dyDescent="0.25">
      <c r="V2964" s="6" t="str">
        <f t="shared" si="48"/>
        <v/>
      </c>
    </row>
    <row r="2965" spans="22:22" x14ac:dyDescent="0.25">
      <c r="V2965" s="6" t="str">
        <f t="shared" si="48"/>
        <v/>
      </c>
    </row>
    <row r="2966" spans="22:22" x14ac:dyDescent="0.25">
      <c r="V2966" s="6" t="str">
        <f t="shared" si="48"/>
        <v/>
      </c>
    </row>
    <row r="2967" spans="22:22" x14ac:dyDescent="0.25">
      <c r="V2967" s="6" t="str">
        <f t="shared" si="48"/>
        <v/>
      </c>
    </row>
    <row r="2968" spans="22:22" x14ac:dyDescent="0.25">
      <c r="V2968" s="6" t="str">
        <f t="shared" si="48"/>
        <v/>
      </c>
    </row>
    <row r="2969" spans="22:22" x14ac:dyDescent="0.25">
      <c r="V2969" s="6" t="str">
        <f t="shared" si="48"/>
        <v/>
      </c>
    </row>
    <row r="2970" spans="22:22" x14ac:dyDescent="0.25">
      <c r="V2970" s="6" t="str">
        <f t="shared" si="48"/>
        <v/>
      </c>
    </row>
    <row r="2971" spans="22:22" x14ac:dyDescent="0.25">
      <c r="V2971" s="6" t="str">
        <f t="shared" si="48"/>
        <v/>
      </c>
    </row>
    <row r="2972" spans="22:22" x14ac:dyDescent="0.25">
      <c r="V2972" s="6" t="str">
        <f t="shared" si="48"/>
        <v/>
      </c>
    </row>
    <row r="2973" spans="22:22" x14ac:dyDescent="0.25">
      <c r="V2973" s="6" t="str">
        <f t="shared" si="48"/>
        <v/>
      </c>
    </row>
    <row r="2974" spans="22:22" x14ac:dyDescent="0.25">
      <c r="V2974" s="6" t="str">
        <f t="shared" si="48"/>
        <v/>
      </c>
    </row>
    <row r="2975" spans="22:22" x14ac:dyDescent="0.25">
      <c r="V2975" s="6" t="str">
        <f t="shared" si="48"/>
        <v/>
      </c>
    </row>
    <row r="2976" spans="22:22" x14ac:dyDescent="0.25">
      <c r="V2976" s="6" t="str">
        <f t="shared" si="48"/>
        <v/>
      </c>
    </row>
    <row r="2977" spans="22:22" x14ac:dyDescent="0.25">
      <c r="V2977" s="6" t="str">
        <f t="shared" si="48"/>
        <v/>
      </c>
    </row>
    <row r="2978" spans="22:22" x14ac:dyDescent="0.25">
      <c r="V2978" s="6" t="str">
        <f t="shared" si="48"/>
        <v/>
      </c>
    </row>
    <row r="2979" spans="22:22" x14ac:dyDescent="0.25">
      <c r="V2979" s="6" t="str">
        <f t="shared" si="48"/>
        <v/>
      </c>
    </row>
    <row r="2980" spans="22:22" x14ac:dyDescent="0.25">
      <c r="V2980" s="6" t="str">
        <f t="shared" si="48"/>
        <v/>
      </c>
    </row>
    <row r="2981" spans="22:22" x14ac:dyDescent="0.25">
      <c r="V2981" s="6" t="str">
        <f t="shared" si="48"/>
        <v/>
      </c>
    </row>
    <row r="2982" spans="22:22" x14ac:dyDescent="0.25">
      <c r="V2982" s="6" t="str">
        <f t="shared" si="48"/>
        <v/>
      </c>
    </row>
    <row r="2983" spans="22:22" x14ac:dyDescent="0.25">
      <c r="V2983" s="6" t="str">
        <f t="shared" si="48"/>
        <v/>
      </c>
    </row>
    <row r="2984" spans="22:22" x14ac:dyDescent="0.25">
      <c r="V2984" s="6" t="str">
        <f t="shared" si="48"/>
        <v/>
      </c>
    </row>
    <row r="2985" spans="22:22" x14ac:dyDescent="0.25">
      <c r="V2985" s="6" t="str">
        <f t="shared" si="48"/>
        <v/>
      </c>
    </row>
    <row r="2986" spans="22:22" x14ac:dyDescent="0.25">
      <c r="V2986" s="6" t="str">
        <f t="shared" si="48"/>
        <v/>
      </c>
    </row>
    <row r="2987" spans="22:22" x14ac:dyDescent="0.25">
      <c r="V2987" s="6" t="str">
        <f t="shared" si="48"/>
        <v/>
      </c>
    </row>
    <row r="2988" spans="22:22" x14ac:dyDescent="0.25">
      <c r="V2988" s="6" t="str">
        <f t="shared" si="48"/>
        <v/>
      </c>
    </row>
    <row r="2989" spans="22:22" x14ac:dyDescent="0.25">
      <c r="V2989" s="6" t="str">
        <f t="shared" si="48"/>
        <v/>
      </c>
    </row>
    <row r="2990" spans="22:22" x14ac:dyDescent="0.25">
      <c r="V2990" s="6" t="str">
        <f t="shared" si="48"/>
        <v/>
      </c>
    </row>
    <row r="2991" spans="22:22" x14ac:dyDescent="0.25">
      <c r="V2991" s="6" t="str">
        <f t="shared" si="48"/>
        <v/>
      </c>
    </row>
    <row r="2992" spans="22:22" x14ac:dyDescent="0.25">
      <c r="V2992" s="6" t="str">
        <f t="shared" ref="V2992:V3001" si="49">IFERROR(DATEVALUE(D2992),"")</f>
        <v/>
      </c>
    </row>
    <row r="2993" spans="22:22" x14ac:dyDescent="0.25">
      <c r="V2993" s="6" t="str">
        <f t="shared" si="49"/>
        <v/>
      </c>
    </row>
    <row r="2994" spans="22:22" x14ac:dyDescent="0.25">
      <c r="V2994" s="6" t="str">
        <f t="shared" si="49"/>
        <v/>
      </c>
    </row>
    <row r="2995" spans="22:22" x14ac:dyDescent="0.25">
      <c r="V2995" s="6" t="str">
        <f t="shared" si="49"/>
        <v/>
      </c>
    </row>
    <row r="2996" spans="22:22" x14ac:dyDescent="0.25">
      <c r="V2996" s="6" t="str">
        <f t="shared" si="49"/>
        <v/>
      </c>
    </row>
    <row r="2997" spans="22:22" x14ac:dyDescent="0.25">
      <c r="V2997" s="6" t="str">
        <f t="shared" si="49"/>
        <v/>
      </c>
    </row>
    <row r="2998" spans="22:22" x14ac:dyDescent="0.25">
      <c r="V2998" s="6" t="str">
        <f t="shared" si="49"/>
        <v/>
      </c>
    </row>
    <row r="2999" spans="22:22" x14ac:dyDescent="0.25">
      <c r="V2999" s="6" t="str">
        <f t="shared" si="49"/>
        <v/>
      </c>
    </row>
    <row r="3000" spans="22:22" x14ac:dyDescent="0.25">
      <c r="V3000" s="6" t="str">
        <f t="shared" si="49"/>
        <v/>
      </c>
    </row>
    <row r="3001" spans="22:22" x14ac:dyDescent="0.25">
      <c r="V3001" s="6" t="str">
        <f t="shared" si="49"/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4837-7ED4-7845-8FF5-08392F69FD6C}">
  <dimension ref="A1:I3000"/>
  <sheetViews>
    <sheetView workbookViewId="0"/>
  </sheetViews>
  <sheetFormatPr defaultColWidth="10.85546875" defaultRowHeight="15" x14ac:dyDescent="0.25"/>
  <cols>
    <col min="1" max="1" width="15.28515625" style="1" bestFit="1" customWidth="1"/>
    <col min="2" max="2" width="14.140625" style="1" bestFit="1" customWidth="1"/>
    <col min="3" max="3" width="37.85546875" style="1" bestFit="1" customWidth="1"/>
    <col min="4" max="4" width="37.85546875" style="1" customWidth="1"/>
    <col min="5" max="5" width="9" style="1" bestFit="1" customWidth="1"/>
    <col min="6" max="6" width="13" style="1" bestFit="1" customWidth="1"/>
    <col min="7" max="7" width="13" style="1" customWidth="1"/>
    <col min="8" max="8" width="6.7109375" style="1" bestFit="1" customWidth="1"/>
    <col min="9" max="9" width="15.42578125" style="7" customWidth="1"/>
    <col min="10" max="16384" width="10.85546875" style="1"/>
  </cols>
  <sheetData>
    <row r="1" spans="1:9" x14ac:dyDescent="0.25">
      <c r="A1" s="8" t="s">
        <v>13</v>
      </c>
      <c r="B1" s="8" t="s">
        <v>3</v>
      </c>
      <c r="C1" s="8" t="s">
        <v>0</v>
      </c>
      <c r="D1" s="8" t="s">
        <v>2</v>
      </c>
      <c r="E1" s="8" t="s">
        <v>47</v>
      </c>
      <c r="F1" s="8" t="s">
        <v>8</v>
      </c>
      <c r="G1" s="8" t="s">
        <v>14</v>
      </c>
      <c r="H1" s="8" t="s">
        <v>10</v>
      </c>
      <c r="I1" s="9" t="s">
        <v>22</v>
      </c>
    </row>
    <row r="2" spans="1:9" x14ac:dyDescent="0.25">
      <c r="A2"/>
      <c r="B2"/>
      <c r="C2"/>
      <c r="D2"/>
      <c r="E2"/>
      <c r="F2"/>
      <c r="G2"/>
      <c r="H2"/>
      <c r="I2" s="10" t="str">
        <f>IFERROR(DATEVALUE(D2),"")</f>
        <v/>
      </c>
    </row>
    <row r="3" spans="1:9" x14ac:dyDescent="0.25">
      <c r="A3"/>
      <c r="B3"/>
      <c r="C3"/>
      <c r="D3"/>
      <c r="E3"/>
      <c r="F3"/>
      <c r="G3"/>
      <c r="H3"/>
      <c r="I3" s="10" t="str">
        <f t="shared" ref="I3:I66" si="0">IFERROR(DATEVALUE(D3),"")</f>
        <v/>
      </c>
    </row>
    <row r="4" spans="1:9" x14ac:dyDescent="0.25">
      <c r="A4"/>
      <c r="B4"/>
      <c r="C4"/>
      <c r="D4"/>
      <c r="E4"/>
      <c r="F4"/>
      <c r="G4"/>
      <c r="H4"/>
      <c r="I4" s="10" t="str">
        <f t="shared" si="0"/>
        <v/>
      </c>
    </row>
    <row r="5" spans="1:9" x14ac:dyDescent="0.25">
      <c r="A5"/>
      <c r="B5"/>
      <c r="C5"/>
      <c r="D5"/>
      <c r="E5"/>
      <c r="F5"/>
      <c r="G5"/>
      <c r="H5"/>
      <c r="I5" s="10" t="str">
        <f t="shared" si="0"/>
        <v/>
      </c>
    </row>
    <row r="6" spans="1:9" x14ac:dyDescent="0.25">
      <c r="A6"/>
      <c r="B6"/>
      <c r="C6"/>
      <c r="D6"/>
      <c r="E6"/>
      <c r="F6"/>
      <c r="G6"/>
      <c r="H6"/>
      <c r="I6" s="10" t="str">
        <f t="shared" si="0"/>
        <v/>
      </c>
    </row>
    <row r="7" spans="1:9" x14ac:dyDescent="0.25">
      <c r="A7"/>
      <c r="B7"/>
      <c r="C7"/>
      <c r="D7"/>
      <c r="E7"/>
      <c r="F7"/>
      <c r="G7"/>
      <c r="H7"/>
      <c r="I7" s="10" t="str">
        <f t="shared" si="0"/>
        <v/>
      </c>
    </row>
    <row r="8" spans="1:9" x14ac:dyDescent="0.25">
      <c r="A8"/>
      <c r="B8"/>
      <c r="C8"/>
      <c r="D8"/>
      <c r="E8"/>
      <c r="F8"/>
      <c r="G8"/>
      <c r="H8"/>
      <c r="I8" s="10" t="str">
        <f t="shared" si="0"/>
        <v/>
      </c>
    </row>
    <row r="9" spans="1:9" x14ac:dyDescent="0.25">
      <c r="A9"/>
      <c r="B9"/>
      <c r="C9"/>
      <c r="D9"/>
      <c r="E9"/>
      <c r="F9"/>
      <c r="G9"/>
      <c r="H9"/>
      <c r="I9" s="10" t="str">
        <f t="shared" si="0"/>
        <v/>
      </c>
    </row>
    <row r="10" spans="1:9" x14ac:dyDescent="0.25">
      <c r="I10" s="10" t="str">
        <f t="shared" si="0"/>
        <v/>
      </c>
    </row>
    <row r="11" spans="1:9" x14ac:dyDescent="0.25">
      <c r="I11" s="10" t="str">
        <f t="shared" si="0"/>
        <v/>
      </c>
    </row>
    <row r="12" spans="1:9" x14ac:dyDescent="0.25">
      <c r="I12" s="10" t="str">
        <f t="shared" si="0"/>
        <v/>
      </c>
    </row>
    <row r="13" spans="1:9" x14ac:dyDescent="0.25">
      <c r="I13" s="10" t="str">
        <f t="shared" si="0"/>
        <v/>
      </c>
    </row>
    <row r="14" spans="1:9" x14ac:dyDescent="0.25">
      <c r="I14" s="10" t="str">
        <f t="shared" si="0"/>
        <v/>
      </c>
    </row>
    <row r="15" spans="1:9" x14ac:dyDescent="0.25">
      <c r="I15" s="10" t="str">
        <f t="shared" si="0"/>
        <v/>
      </c>
    </row>
    <row r="16" spans="1:9" x14ac:dyDescent="0.25">
      <c r="I16" s="10" t="str">
        <f t="shared" si="0"/>
        <v/>
      </c>
    </row>
    <row r="17" spans="9:9" x14ac:dyDescent="0.25">
      <c r="I17" s="10" t="str">
        <f t="shared" si="0"/>
        <v/>
      </c>
    </row>
    <row r="18" spans="9:9" x14ac:dyDescent="0.25">
      <c r="I18" s="10" t="str">
        <f t="shared" si="0"/>
        <v/>
      </c>
    </row>
    <row r="19" spans="9:9" x14ac:dyDescent="0.25">
      <c r="I19" s="10" t="str">
        <f t="shared" si="0"/>
        <v/>
      </c>
    </row>
    <row r="20" spans="9:9" x14ac:dyDescent="0.25">
      <c r="I20" s="10" t="str">
        <f t="shared" si="0"/>
        <v/>
      </c>
    </row>
    <row r="21" spans="9:9" x14ac:dyDescent="0.25">
      <c r="I21" s="10" t="str">
        <f t="shared" si="0"/>
        <v/>
      </c>
    </row>
    <row r="22" spans="9:9" x14ac:dyDescent="0.25">
      <c r="I22" s="10" t="str">
        <f t="shared" si="0"/>
        <v/>
      </c>
    </row>
    <row r="23" spans="9:9" x14ac:dyDescent="0.25">
      <c r="I23" s="10" t="str">
        <f t="shared" si="0"/>
        <v/>
      </c>
    </row>
    <row r="24" spans="9:9" x14ac:dyDescent="0.25">
      <c r="I24" s="10" t="str">
        <f t="shared" si="0"/>
        <v/>
      </c>
    </row>
    <row r="25" spans="9:9" x14ac:dyDescent="0.25">
      <c r="I25" s="10" t="str">
        <f t="shared" si="0"/>
        <v/>
      </c>
    </row>
    <row r="26" spans="9:9" x14ac:dyDescent="0.25">
      <c r="I26" s="10" t="str">
        <f t="shared" si="0"/>
        <v/>
      </c>
    </row>
    <row r="27" spans="9:9" x14ac:dyDescent="0.25">
      <c r="I27" s="10" t="str">
        <f t="shared" si="0"/>
        <v/>
      </c>
    </row>
    <row r="28" spans="9:9" x14ac:dyDescent="0.25">
      <c r="I28" s="10" t="str">
        <f t="shared" si="0"/>
        <v/>
      </c>
    </row>
    <row r="29" spans="9:9" x14ac:dyDescent="0.25">
      <c r="I29" s="10" t="str">
        <f t="shared" si="0"/>
        <v/>
      </c>
    </row>
    <row r="30" spans="9:9" x14ac:dyDescent="0.25">
      <c r="I30" s="10" t="str">
        <f t="shared" si="0"/>
        <v/>
      </c>
    </row>
    <row r="31" spans="9:9" x14ac:dyDescent="0.25">
      <c r="I31" s="10" t="str">
        <f t="shared" si="0"/>
        <v/>
      </c>
    </row>
    <row r="32" spans="9:9" x14ac:dyDescent="0.25">
      <c r="I32" s="10" t="str">
        <f t="shared" si="0"/>
        <v/>
      </c>
    </row>
    <row r="33" spans="9:9" x14ac:dyDescent="0.25">
      <c r="I33" s="10" t="str">
        <f t="shared" si="0"/>
        <v/>
      </c>
    </row>
    <row r="34" spans="9:9" x14ac:dyDescent="0.25">
      <c r="I34" s="10" t="str">
        <f t="shared" si="0"/>
        <v/>
      </c>
    </row>
    <row r="35" spans="9:9" x14ac:dyDescent="0.25">
      <c r="I35" s="10" t="str">
        <f t="shared" si="0"/>
        <v/>
      </c>
    </row>
    <row r="36" spans="9:9" x14ac:dyDescent="0.25">
      <c r="I36" s="10" t="str">
        <f t="shared" si="0"/>
        <v/>
      </c>
    </row>
    <row r="37" spans="9:9" x14ac:dyDescent="0.25">
      <c r="I37" s="10" t="str">
        <f t="shared" si="0"/>
        <v/>
      </c>
    </row>
    <row r="38" spans="9:9" x14ac:dyDescent="0.25">
      <c r="I38" s="10" t="str">
        <f t="shared" si="0"/>
        <v/>
      </c>
    </row>
    <row r="39" spans="9:9" x14ac:dyDescent="0.25">
      <c r="I39" s="10" t="str">
        <f t="shared" si="0"/>
        <v/>
      </c>
    </row>
    <row r="40" spans="9:9" x14ac:dyDescent="0.25">
      <c r="I40" s="10" t="str">
        <f t="shared" si="0"/>
        <v/>
      </c>
    </row>
    <row r="41" spans="9:9" x14ac:dyDescent="0.25">
      <c r="I41" s="10" t="str">
        <f t="shared" si="0"/>
        <v/>
      </c>
    </row>
    <row r="42" spans="9:9" x14ac:dyDescent="0.25">
      <c r="I42" s="10" t="str">
        <f t="shared" si="0"/>
        <v/>
      </c>
    </row>
    <row r="43" spans="9:9" x14ac:dyDescent="0.25">
      <c r="I43" s="10" t="str">
        <f t="shared" si="0"/>
        <v/>
      </c>
    </row>
    <row r="44" spans="9:9" x14ac:dyDescent="0.25">
      <c r="I44" s="10" t="str">
        <f t="shared" si="0"/>
        <v/>
      </c>
    </row>
    <row r="45" spans="9:9" x14ac:dyDescent="0.25">
      <c r="I45" s="10" t="str">
        <f t="shared" si="0"/>
        <v/>
      </c>
    </row>
    <row r="46" spans="9:9" x14ac:dyDescent="0.25">
      <c r="I46" s="10" t="str">
        <f t="shared" si="0"/>
        <v/>
      </c>
    </row>
    <row r="47" spans="9:9" x14ac:dyDescent="0.25">
      <c r="I47" s="10" t="str">
        <f t="shared" si="0"/>
        <v/>
      </c>
    </row>
    <row r="48" spans="9:9" x14ac:dyDescent="0.25">
      <c r="I48" s="10" t="str">
        <f t="shared" si="0"/>
        <v/>
      </c>
    </row>
    <row r="49" spans="9:9" x14ac:dyDescent="0.25">
      <c r="I49" s="10" t="str">
        <f t="shared" si="0"/>
        <v/>
      </c>
    </row>
    <row r="50" spans="9:9" x14ac:dyDescent="0.25">
      <c r="I50" s="10" t="str">
        <f t="shared" si="0"/>
        <v/>
      </c>
    </row>
    <row r="51" spans="9:9" x14ac:dyDescent="0.25">
      <c r="I51" s="10" t="str">
        <f t="shared" si="0"/>
        <v/>
      </c>
    </row>
    <row r="52" spans="9:9" x14ac:dyDescent="0.25">
      <c r="I52" s="10" t="str">
        <f t="shared" si="0"/>
        <v/>
      </c>
    </row>
    <row r="53" spans="9:9" x14ac:dyDescent="0.25">
      <c r="I53" s="10" t="str">
        <f t="shared" si="0"/>
        <v/>
      </c>
    </row>
    <row r="54" spans="9:9" x14ac:dyDescent="0.25">
      <c r="I54" s="10" t="str">
        <f t="shared" si="0"/>
        <v/>
      </c>
    </row>
    <row r="55" spans="9:9" x14ac:dyDescent="0.25">
      <c r="I55" s="10" t="str">
        <f t="shared" si="0"/>
        <v/>
      </c>
    </row>
    <row r="56" spans="9:9" x14ac:dyDescent="0.25">
      <c r="I56" s="10" t="str">
        <f t="shared" si="0"/>
        <v/>
      </c>
    </row>
    <row r="57" spans="9:9" x14ac:dyDescent="0.25">
      <c r="I57" s="10" t="str">
        <f t="shared" si="0"/>
        <v/>
      </c>
    </row>
    <row r="58" spans="9:9" x14ac:dyDescent="0.25">
      <c r="I58" s="10" t="str">
        <f t="shared" si="0"/>
        <v/>
      </c>
    </row>
    <row r="59" spans="9:9" x14ac:dyDescent="0.25">
      <c r="I59" s="10" t="str">
        <f t="shared" si="0"/>
        <v/>
      </c>
    </row>
    <row r="60" spans="9:9" x14ac:dyDescent="0.25">
      <c r="I60" s="10" t="str">
        <f t="shared" si="0"/>
        <v/>
      </c>
    </row>
    <row r="61" spans="9:9" x14ac:dyDescent="0.25">
      <c r="I61" s="10" t="str">
        <f t="shared" si="0"/>
        <v/>
      </c>
    </row>
    <row r="62" spans="9:9" x14ac:dyDescent="0.25">
      <c r="I62" s="10" t="str">
        <f t="shared" si="0"/>
        <v/>
      </c>
    </row>
    <row r="63" spans="9:9" x14ac:dyDescent="0.25">
      <c r="I63" s="10" t="str">
        <f t="shared" si="0"/>
        <v/>
      </c>
    </row>
    <row r="64" spans="9:9" x14ac:dyDescent="0.25">
      <c r="I64" s="10" t="str">
        <f t="shared" si="0"/>
        <v/>
      </c>
    </row>
    <row r="65" spans="9:9" x14ac:dyDescent="0.25">
      <c r="I65" s="10" t="str">
        <f t="shared" si="0"/>
        <v/>
      </c>
    </row>
    <row r="66" spans="9:9" x14ac:dyDescent="0.25">
      <c r="I66" s="10" t="str">
        <f t="shared" si="0"/>
        <v/>
      </c>
    </row>
    <row r="67" spans="9:9" x14ac:dyDescent="0.25">
      <c r="I67" s="10" t="str">
        <f t="shared" ref="I67:I130" si="1">IFERROR(DATEVALUE(D67),"")</f>
        <v/>
      </c>
    </row>
    <row r="68" spans="9:9" x14ac:dyDescent="0.25">
      <c r="I68" s="10" t="str">
        <f t="shared" si="1"/>
        <v/>
      </c>
    </row>
    <row r="69" spans="9:9" x14ac:dyDescent="0.25">
      <c r="I69" s="10" t="str">
        <f t="shared" si="1"/>
        <v/>
      </c>
    </row>
    <row r="70" spans="9:9" x14ac:dyDescent="0.25">
      <c r="I70" s="10" t="str">
        <f t="shared" si="1"/>
        <v/>
      </c>
    </row>
    <row r="71" spans="9:9" x14ac:dyDescent="0.25">
      <c r="I71" s="10" t="str">
        <f t="shared" si="1"/>
        <v/>
      </c>
    </row>
    <row r="72" spans="9:9" x14ac:dyDescent="0.25">
      <c r="I72" s="10" t="str">
        <f t="shared" si="1"/>
        <v/>
      </c>
    </row>
    <row r="73" spans="9:9" x14ac:dyDescent="0.25">
      <c r="I73" s="10" t="str">
        <f t="shared" si="1"/>
        <v/>
      </c>
    </row>
    <row r="74" spans="9:9" x14ac:dyDescent="0.25">
      <c r="I74" s="10" t="str">
        <f t="shared" si="1"/>
        <v/>
      </c>
    </row>
    <row r="75" spans="9:9" x14ac:dyDescent="0.25">
      <c r="I75" s="10" t="str">
        <f t="shared" si="1"/>
        <v/>
      </c>
    </row>
    <row r="76" spans="9:9" x14ac:dyDescent="0.25">
      <c r="I76" s="10" t="str">
        <f t="shared" si="1"/>
        <v/>
      </c>
    </row>
    <row r="77" spans="9:9" x14ac:dyDescent="0.25">
      <c r="I77" s="10" t="str">
        <f t="shared" si="1"/>
        <v/>
      </c>
    </row>
    <row r="78" spans="9:9" x14ac:dyDescent="0.25">
      <c r="I78" s="10" t="str">
        <f t="shared" si="1"/>
        <v/>
      </c>
    </row>
    <row r="79" spans="9:9" x14ac:dyDescent="0.25">
      <c r="I79" s="10" t="str">
        <f t="shared" si="1"/>
        <v/>
      </c>
    </row>
    <row r="80" spans="9:9" x14ac:dyDescent="0.25">
      <c r="I80" s="10" t="str">
        <f t="shared" si="1"/>
        <v/>
      </c>
    </row>
    <row r="81" spans="9:9" x14ac:dyDescent="0.25">
      <c r="I81" s="10" t="str">
        <f t="shared" si="1"/>
        <v/>
      </c>
    </row>
    <row r="82" spans="9:9" x14ac:dyDescent="0.25">
      <c r="I82" s="10" t="str">
        <f t="shared" si="1"/>
        <v/>
      </c>
    </row>
    <row r="83" spans="9:9" x14ac:dyDescent="0.25">
      <c r="I83" s="10" t="str">
        <f t="shared" si="1"/>
        <v/>
      </c>
    </row>
    <row r="84" spans="9:9" x14ac:dyDescent="0.25">
      <c r="I84" s="10" t="str">
        <f t="shared" si="1"/>
        <v/>
      </c>
    </row>
    <row r="85" spans="9:9" x14ac:dyDescent="0.25">
      <c r="I85" s="10" t="str">
        <f t="shared" si="1"/>
        <v/>
      </c>
    </row>
    <row r="86" spans="9:9" x14ac:dyDescent="0.25">
      <c r="I86" s="10" t="str">
        <f t="shared" si="1"/>
        <v/>
      </c>
    </row>
    <row r="87" spans="9:9" x14ac:dyDescent="0.25">
      <c r="I87" s="10" t="str">
        <f t="shared" si="1"/>
        <v/>
      </c>
    </row>
    <row r="88" spans="9:9" x14ac:dyDescent="0.25">
      <c r="I88" s="10" t="str">
        <f t="shared" si="1"/>
        <v/>
      </c>
    </row>
    <row r="89" spans="9:9" x14ac:dyDescent="0.25">
      <c r="I89" s="10" t="str">
        <f t="shared" si="1"/>
        <v/>
      </c>
    </row>
    <row r="90" spans="9:9" x14ac:dyDescent="0.25">
      <c r="I90" s="10" t="str">
        <f t="shared" si="1"/>
        <v/>
      </c>
    </row>
    <row r="91" spans="9:9" x14ac:dyDescent="0.25">
      <c r="I91" s="10" t="str">
        <f t="shared" si="1"/>
        <v/>
      </c>
    </row>
    <row r="92" spans="9:9" x14ac:dyDescent="0.25">
      <c r="I92" s="10" t="str">
        <f t="shared" si="1"/>
        <v/>
      </c>
    </row>
    <row r="93" spans="9:9" x14ac:dyDescent="0.25">
      <c r="I93" s="10" t="str">
        <f t="shared" si="1"/>
        <v/>
      </c>
    </row>
    <row r="94" spans="9:9" x14ac:dyDescent="0.25">
      <c r="I94" s="10" t="str">
        <f t="shared" si="1"/>
        <v/>
      </c>
    </row>
    <row r="95" spans="9:9" x14ac:dyDescent="0.25">
      <c r="I95" s="10" t="str">
        <f t="shared" si="1"/>
        <v/>
      </c>
    </row>
    <row r="96" spans="9:9" x14ac:dyDescent="0.25">
      <c r="I96" s="10" t="str">
        <f t="shared" si="1"/>
        <v/>
      </c>
    </row>
    <row r="97" spans="9:9" x14ac:dyDescent="0.25">
      <c r="I97" s="10" t="str">
        <f t="shared" si="1"/>
        <v/>
      </c>
    </row>
    <row r="98" spans="9:9" x14ac:dyDescent="0.25">
      <c r="I98" s="10" t="str">
        <f t="shared" si="1"/>
        <v/>
      </c>
    </row>
    <row r="99" spans="9:9" x14ac:dyDescent="0.25">
      <c r="I99" s="10" t="str">
        <f t="shared" si="1"/>
        <v/>
      </c>
    </row>
    <row r="100" spans="9:9" x14ac:dyDescent="0.25">
      <c r="I100" s="10" t="str">
        <f t="shared" si="1"/>
        <v/>
      </c>
    </row>
    <row r="101" spans="9:9" x14ac:dyDescent="0.25">
      <c r="I101" s="10" t="str">
        <f t="shared" si="1"/>
        <v/>
      </c>
    </row>
    <row r="102" spans="9:9" x14ac:dyDescent="0.25">
      <c r="I102" s="10" t="str">
        <f t="shared" si="1"/>
        <v/>
      </c>
    </row>
    <row r="103" spans="9:9" x14ac:dyDescent="0.25">
      <c r="I103" s="10" t="str">
        <f t="shared" si="1"/>
        <v/>
      </c>
    </row>
    <row r="104" spans="9:9" x14ac:dyDescent="0.25">
      <c r="I104" s="10" t="str">
        <f t="shared" si="1"/>
        <v/>
      </c>
    </row>
    <row r="105" spans="9:9" x14ac:dyDescent="0.25">
      <c r="I105" s="10" t="str">
        <f t="shared" si="1"/>
        <v/>
      </c>
    </row>
    <row r="106" spans="9:9" x14ac:dyDescent="0.25">
      <c r="I106" s="10" t="str">
        <f t="shared" si="1"/>
        <v/>
      </c>
    </row>
    <row r="107" spans="9:9" x14ac:dyDescent="0.25">
      <c r="I107" s="10" t="str">
        <f t="shared" si="1"/>
        <v/>
      </c>
    </row>
    <row r="108" spans="9:9" x14ac:dyDescent="0.25">
      <c r="I108" s="10" t="str">
        <f t="shared" si="1"/>
        <v/>
      </c>
    </row>
    <row r="109" spans="9:9" x14ac:dyDescent="0.25">
      <c r="I109" s="10" t="str">
        <f t="shared" si="1"/>
        <v/>
      </c>
    </row>
    <row r="110" spans="9:9" x14ac:dyDescent="0.25">
      <c r="I110" s="10" t="str">
        <f t="shared" si="1"/>
        <v/>
      </c>
    </row>
    <row r="111" spans="9:9" x14ac:dyDescent="0.25">
      <c r="I111" s="10" t="str">
        <f t="shared" si="1"/>
        <v/>
      </c>
    </row>
    <row r="112" spans="9:9" x14ac:dyDescent="0.25">
      <c r="I112" s="10" t="str">
        <f t="shared" si="1"/>
        <v/>
      </c>
    </row>
    <row r="113" spans="9:9" x14ac:dyDescent="0.25">
      <c r="I113" s="10" t="str">
        <f t="shared" si="1"/>
        <v/>
      </c>
    </row>
    <row r="114" spans="9:9" x14ac:dyDescent="0.25">
      <c r="I114" s="10" t="str">
        <f t="shared" si="1"/>
        <v/>
      </c>
    </row>
    <row r="115" spans="9:9" x14ac:dyDescent="0.25">
      <c r="I115" s="10" t="str">
        <f t="shared" si="1"/>
        <v/>
      </c>
    </row>
    <row r="116" spans="9:9" x14ac:dyDescent="0.25">
      <c r="I116" s="10" t="str">
        <f t="shared" si="1"/>
        <v/>
      </c>
    </row>
    <row r="117" spans="9:9" x14ac:dyDescent="0.25">
      <c r="I117" s="10" t="str">
        <f t="shared" si="1"/>
        <v/>
      </c>
    </row>
    <row r="118" spans="9:9" x14ac:dyDescent="0.25">
      <c r="I118" s="10" t="str">
        <f t="shared" si="1"/>
        <v/>
      </c>
    </row>
    <row r="119" spans="9:9" x14ac:dyDescent="0.25">
      <c r="I119" s="10" t="str">
        <f t="shared" si="1"/>
        <v/>
      </c>
    </row>
    <row r="120" spans="9:9" x14ac:dyDescent="0.25">
      <c r="I120" s="10" t="str">
        <f t="shared" si="1"/>
        <v/>
      </c>
    </row>
    <row r="121" spans="9:9" x14ac:dyDescent="0.25">
      <c r="I121" s="10" t="str">
        <f t="shared" si="1"/>
        <v/>
      </c>
    </row>
    <row r="122" spans="9:9" x14ac:dyDescent="0.25">
      <c r="I122" s="10" t="str">
        <f t="shared" si="1"/>
        <v/>
      </c>
    </row>
    <row r="123" spans="9:9" x14ac:dyDescent="0.25">
      <c r="I123" s="10" t="str">
        <f t="shared" si="1"/>
        <v/>
      </c>
    </row>
    <row r="124" spans="9:9" x14ac:dyDescent="0.25">
      <c r="I124" s="10" t="str">
        <f t="shared" si="1"/>
        <v/>
      </c>
    </row>
    <row r="125" spans="9:9" x14ac:dyDescent="0.25">
      <c r="I125" s="10" t="str">
        <f t="shared" si="1"/>
        <v/>
      </c>
    </row>
    <row r="126" spans="9:9" x14ac:dyDescent="0.25">
      <c r="I126" s="10" t="str">
        <f t="shared" si="1"/>
        <v/>
      </c>
    </row>
    <row r="127" spans="9:9" x14ac:dyDescent="0.25">
      <c r="I127" s="10" t="str">
        <f t="shared" si="1"/>
        <v/>
      </c>
    </row>
    <row r="128" spans="9:9" x14ac:dyDescent="0.25">
      <c r="I128" s="10" t="str">
        <f t="shared" si="1"/>
        <v/>
      </c>
    </row>
    <row r="129" spans="9:9" x14ac:dyDescent="0.25">
      <c r="I129" s="10" t="str">
        <f t="shared" si="1"/>
        <v/>
      </c>
    </row>
    <row r="130" spans="9:9" x14ac:dyDescent="0.25">
      <c r="I130" s="10" t="str">
        <f t="shared" si="1"/>
        <v/>
      </c>
    </row>
    <row r="131" spans="9:9" x14ac:dyDescent="0.25">
      <c r="I131" s="10" t="str">
        <f t="shared" ref="I131:I194" si="2">IFERROR(DATEVALUE(D131),"")</f>
        <v/>
      </c>
    </row>
    <row r="132" spans="9:9" x14ac:dyDescent="0.25">
      <c r="I132" s="10" t="str">
        <f t="shared" si="2"/>
        <v/>
      </c>
    </row>
    <row r="133" spans="9:9" x14ac:dyDescent="0.25">
      <c r="I133" s="10" t="str">
        <f t="shared" si="2"/>
        <v/>
      </c>
    </row>
    <row r="134" spans="9:9" x14ac:dyDescent="0.25">
      <c r="I134" s="10" t="str">
        <f t="shared" si="2"/>
        <v/>
      </c>
    </row>
    <row r="135" spans="9:9" x14ac:dyDescent="0.25">
      <c r="I135" s="10" t="str">
        <f t="shared" si="2"/>
        <v/>
      </c>
    </row>
    <row r="136" spans="9:9" x14ac:dyDescent="0.25">
      <c r="I136" s="10" t="str">
        <f t="shared" si="2"/>
        <v/>
      </c>
    </row>
    <row r="137" spans="9:9" x14ac:dyDescent="0.25">
      <c r="I137" s="10" t="str">
        <f t="shared" si="2"/>
        <v/>
      </c>
    </row>
    <row r="138" spans="9:9" x14ac:dyDescent="0.25">
      <c r="I138" s="10" t="str">
        <f t="shared" si="2"/>
        <v/>
      </c>
    </row>
    <row r="139" spans="9:9" x14ac:dyDescent="0.25">
      <c r="I139" s="10" t="str">
        <f t="shared" si="2"/>
        <v/>
      </c>
    </row>
    <row r="140" spans="9:9" x14ac:dyDescent="0.25">
      <c r="I140" s="10" t="str">
        <f t="shared" si="2"/>
        <v/>
      </c>
    </row>
    <row r="141" spans="9:9" x14ac:dyDescent="0.25">
      <c r="I141" s="10" t="str">
        <f t="shared" si="2"/>
        <v/>
      </c>
    </row>
    <row r="142" spans="9:9" x14ac:dyDescent="0.25">
      <c r="I142" s="10" t="str">
        <f t="shared" si="2"/>
        <v/>
      </c>
    </row>
    <row r="143" spans="9:9" x14ac:dyDescent="0.25">
      <c r="I143" s="10" t="str">
        <f t="shared" si="2"/>
        <v/>
      </c>
    </row>
    <row r="144" spans="9:9" x14ac:dyDescent="0.25">
      <c r="I144" s="10" t="str">
        <f t="shared" si="2"/>
        <v/>
      </c>
    </row>
    <row r="145" spans="9:9" x14ac:dyDescent="0.25">
      <c r="I145" s="10" t="str">
        <f t="shared" si="2"/>
        <v/>
      </c>
    </row>
    <row r="146" spans="9:9" x14ac:dyDescent="0.25">
      <c r="I146" s="10" t="str">
        <f t="shared" si="2"/>
        <v/>
      </c>
    </row>
    <row r="147" spans="9:9" x14ac:dyDescent="0.25">
      <c r="I147" s="10" t="str">
        <f t="shared" si="2"/>
        <v/>
      </c>
    </row>
    <row r="148" spans="9:9" x14ac:dyDescent="0.25">
      <c r="I148" s="10" t="str">
        <f t="shared" si="2"/>
        <v/>
      </c>
    </row>
    <row r="149" spans="9:9" x14ac:dyDescent="0.25">
      <c r="I149" s="10" t="str">
        <f t="shared" si="2"/>
        <v/>
      </c>
    </row>
    <row r="150" spans="9:9" x14ac:dyDescent="0.25">
      <c r="I150" s="10" t="str">
        <f t="shared" si="2"/>
        <v/>
      </c>
    </row>
    <row r="151" spans="9:9" x14ac:dyDescent="0.25">
      <c r="I151" s="10" t="str">
        <f t="shared" si="2"/>
        <v/>
      </c>
    </row>
    <row r="152" spans="9:9" x14ac:dyDescent="0.25">
      <c r="I152" s="10" t="str">
        <f t="shared" si="2"/>
        <v/>
      </c>
    </row>
    <row r="153" spans="9:9" x14ac:dyDescent="0.25">
      <c r="I153" s="10" t="str">
        <f t="shared" si="2"/>
        <v/>
      </c>
    </row>
    <row r="154" spans="9:9" x14ac:dyDescent="0.25">
      <c r="I154" s="10" t="str">
        <f t="shared" si="2"/>
        <v/>
      </c>
    </row>
    <row r="155" spans="9:9" x14ac:dyDescent="0.25">
      <c r="I155" s="10" t="str">
        <f t="shared" si="2"/>
        <v/>
      </c>
    </row>
    <row r="156" spans="9:9" x14ac:dyDescent="0.25">
      <c r="I156" s="10" t="str">
        <f t="shared" si="2"/>
        <v/>
      </c>
    </row>
    <row r="157" spans="9:9" x14ac:dyDescent="0.25">
      <c r="I157" s="10" t="str">
        <f t="shared" si="2"/>
        <v/>
      </c>
    </row>
    <row r="158" spans="9:9" x14ac:dyDescent="0.25">
      <c r="I158" s="10" t="str">
        <f t="shared" si="2"/>
        <v/>
      </c>
    </row>
    <row r="159" spans="9:9" x14ac:dyDescent="0.25">
      <c r="I159" s="10" t="str">
        <f t="shared" si="2"/>
        <v/>
      </c>
    </row>
    <row r="160" spans="9:9" x14ac:dyDescent="0.25">
      <c r="I160" s="10" t="str">
        <f t="shared" si="2"/>
        <v/>
      </c>
    </row>
    <row r="161" spans="9:9" x14ac:dyDescent="0.25">
      <c r="I161" s="10" t="str">
        <f t="shared" si="2"/>
        <v/>
      </c>
    </row>
    <row r="162" spans="9:9" x14ac:dyDescent="0.25">
      <c r="I162" s="10" t="str">
        <f t="shared" si="2"/>
        <v/>
      </c>
    </row>
    <row r="163" spans="9:9" x14ac:dyDescent="0.25">
      <c r="I163" s="10" t="str">
        <f t="shared" si="2"/>
        <v/>
      </c>
    </row>
    <row r="164" spans="9:9" x14ac:dyDescent="0.25">
      <c r="I164" s="10" t="str">
        <f t="shared" si="2"/>
        <v/>
      </c>
    </row>
    <row r="165" spans="9:9" x14ac:dyDescent="0.25">
      <c r="I165" s="10" t="str">
        <f t="shared" si="2"/>
        <v/>
      </c>
    </row>
    <row r="166" spans="9:9" x14ac:dyDescent="0.25">
      <c r="I166" s="10" t="str">
        <f t="shared" si="2"/>
        <v/>
      </c>
    </row>
    <row r="167" spans="9:9" x14ac:dyDescent="0.25">
      <c r="I167" s="10" t="str">
        <f t="shared" si="2"/>
        <v/>
      </c>
    </row>
    <row r="168" spans="9:9" x14ac:dyDescent="0.25">
      <c r="I168" s="10" t="str">
        <f t="shared" si="2"/>
        <v/>
      </c>
    </row>
    <row r="169" spans="9:9" x14ac:dyDescent="0.25">
      <c r="I169" s="10" t="str">
        <f t="shared" si="2"/>
        <v/>
      </c>
    </row>
    <row r="170" spans="9:9" x14ac:dyDescent="0.25">
      <c r="I170" s="10" t="str">
        <f t="shared" si="2"/>
        <v/>
      </c>
    </row>
    <row r="171" spans="9:9" x14ac:dyDescent="0.25">
      <c r="I171" s="10" t="str">
        <f t="shared" si="2"/>
        <v/>
      </c>
    </row>
    <row r="172" spans="9:9" x14ac:dyDescent="0.25">
      <c r="I172" s="10" t="str">
        <f t="shared" si="2"/>
        <v/>
      </c>
    </row>
    <row r="173" spans="9:9" x14ac:dyDescent="0.25">
      <c r="I173" s="10" t="str">
        <f t="shared" si="2"/>
        <v/>
      </c>
    </row>
    <row r="174" spans="9:9" x14ac:dyDescent="0.25">
      <c r="I174" s="10" t="str">
        <f t="shared" si="2"/>
        <v/>
      </c>
    </row>
    <row r="175" spans="9:9" x14ac:dyDescent="0.25">
      <c r="I175" s="10" t="str">
        <f t="shared" si="2"/>
        <v/>
      </c>
    </row>
    <row r="176" spans="9:9" x14ac:dyDescent="0.25">
      <c r="I176" s="10" t="str">
        <f t="shared" si="2"/>
        <v/>
      </c>
    </row>
    <row r="177" spans="9:9" x14ac:dyDescent="0.25">
      <c r="I177" s="10" t="str">
        <f t="shared" si="2"/>
        <v/>
      </c>
    </row>
    <row r="178" spans="9:9" x14ac:dyDescent="0.25">
      <c r="I178" s="10" t="str">
        <f t="shared" si="2"/>
        <v/>
      </c>
    </row>
    <row r="179" spans="9:9" x14ac:dyDescent="0.25">
      <c r="I179" s="10" t="str">
        <f t="shared" si="2"/>
        <v/>
      </c>
    </row>
    <row r="180" spans="9:9" x14ac:dyDescent="0.25">
      <c r="I180" s="10" t="str">
        <f t="shared" si="2"/>
        <v/>
      </c>
    </row>
    <row r="181" spans="9:9" x14ac:dyDescent="0.25">
      <c r="I181" s="10" t="str">
        <f t="shared" si="2"/>
        <v/>
      </c>
    </row>
    <row r="182" spans="9:9" x14ac:dyDescent="0.25">
      <c r="I182" s="10" t="str">
        <f t="shared" si="2"/>
        <v/>
      </c>
    </row>
    <row r="183" spans="9:9" x14ac:dyDescent="0.25">
      <c r="I183" s="10" t="str">
        <f t="shared" si="2"/>
        <v/>
      </c>
    </row>
    <row r="184" spans="9:9" x14ac:dyDescent="0.25">
      <c r="I184" s="10" t="str">
        <f t="shared" si="2"/>
        <v/>
      </c>
    </row>
    <row r="185" spans="9:9" x14ac:dyDescent="0.25">
      <c r="I185" s="10" t="str">
        <f t="shared" si="2"/>
        <v/>
      </c>
    </row>
    <row r="186" spans="9:9" x14ac:dyDescent="0.25">
      <c r="I186" s="10" t="str">
        <f t="shared" si="2"/>
        <v/>
      </c>
    </row>
    <row r="187" spans="9:9" x14ac:dyDescent="0.25">
      <c r="I187" s="10" t="str">
        <f t="shared" si="2"/>
        <v/>
      </c>
    </row>
    <row r="188" spans="9:9" x14ac:dyDescent="0.25">
      <c r="I188" s="10" t="str">
        <f t="shared" si="2"/>
        <v/>
      </c>
    </row>
    <row r="189" spans="9:9" x14ac:dyDescent="0.25">
      <c r="I189" s="10" t="str">
        <f t="shared" si="2"/>
        <v/>
      </c>
    </row>
    <row r="190" spans="9:9" x14ac:dyDescent="0.25">
      <c r="I190" s="10" t="str">
        <f t="shared" si="2"/>
        <v/>
      </c>
    </row>
    <row r="191" spans="9:9" x14ac:dyDescent="0.25">
      <c r="I191" s="10" t="str">
        <f t="shared" si="2"/>
        <v/>
      </c>
    </row>
    <row r="192" spans="9:9" x14ac:dyDescent="0.25">
      <c r="I192" s="10" t="str">
        <f t="shared" si="2"/>
        <v/>
      </c>
    </row>
    <row r="193" spans="9:9" x14ac:dyDescent="0.25">
      <c r="I193" s="10" t="str">
        <f t="shared" si="2"/>
        <v/>
      </c>
    </row>
    <row r="194" spans="9:9" x14ac:dyDescent="0.25">
      <c r="I194" s="10" t="str">
        <f t="shared" si="2"/>
        <v/>
      </c>
    </row>
    <row r="195" spans="9:9" x14ac:dyDescent="0.25">
      <c r="I195" s="10" t="str">
        <f t="shared" ref="I195:I258" si="3">IFERROR(DATEVALUE(D195),"")</f>
        <v/>
      </c>
    </row>
    <row r="196" spans="9:9" x14ac:dyDescent="0.25">
      <c r="I196" s="10" t="str">
        <f t="shared" si="3"/>
        <v/>
      </c>
    </row>
    <row r="197" spans="9:9" x14ac:dyDescent="0.25">
      <c r="I197" s="10" t="str">
        <f t="shared" si="3"/>
        <v/>
      </c>
    </row>
    <row r="198" spans="9:9" x14ac:dyDescent="0.25">
      <c r="I198" s="10" t="str">
        <f t="shared" si="3"/>
        <v/>
      </c>
    </row>
    <row r="199" spans="9:9" x14ac:dyDescent="0.25">
      <c r="I199" s="10" t="str">
        <f t="shared" si="3"/>
        <v/>
      </c>
    </row>
    <row r="200" spans="9:9" x14ac:dyDescent="0.25">
      <c r="I200" s="10" t="str">
        <f t="shared" si="3"/>
        <v/>
      </c>
    </row>
    <row r="201" spans="9:9" x14ac:dyDescent="0.25">
      <c r="I201" s="10" t="str">
        <f t="shared" si="3"/>
        <v/>
      </c>
    </row>
    <row r="202" spans="9:9" x14ac:dyDescent="0.25">
      <c r="I202" s="10" t="str">
        <f t="shared" si="3"/>
        <v/>
      </c>
    </row>
    <row r="203" spans="9:9" x14ac:dyDescent="0.25">
      <c r="I203" s="10" t="str">
        <f t="shared" si="3"/>
        <v/>
      </c>
    </row>
    <row r="204" spans="9:9" x14ac:dyDescent="0.25">
      <c r="I204" s="10" t="str">
        <f t="shared" si="3"/>
        <v/>
      </c>
    </row>
    <row r="205" spans="9:9" x14ac:dyDescent="0.25">
      <c r="I205" s="10" t="str">
        <f t="shared" si="3"/>
        <v/>
      </c>
    </row>
    <row r="206" spans="9:9" x14ac:dyDescent="0.25">
      <c r="I206" s="10" t="str">
        <f t="shared" si="3"/>
        <v/>
      </c>
    </row>
    <row r="207" spans="9:9" x14ac:dyDescent="0.25">
      <c r="I207" s="10" t="str">
        <f t="shared" si="3"/>
        <v/>
      </c>
    </row>
    <row r="208" spans="9:9" x14ac:dyDescent="0.25">
      <c r="I208" s="10" t="str">
        <f t="shared" si="3"/>
        <v/>
      </c>
    </row>
    <row r="209" spans="9:9" x14ac:dyDescent="0.25">
      <c r="I209" s="10" t="str">
        <f t="shared" si="3"/>
        <v/>
      </c>
    </row>
    <row r="210" spans="9:9" x14ac:dyDescent="0.25">
      <c r="I210" s="10" t="str">
        <f t="shared" si="3"/>
        <v/>
      </c>
    </row>
    <row r="211" spans="9:9" x14ac:dyDescent="0.25">
      <c r="I211" s="10" t="str">
        <f t="shared" si="3"/>
        <v/>
      </c>
    </row>
    <row r="212" spans="9:9" x14ac:dyDescent="0.25">
      <c r="I212" s="10" t="str">
        <f t="shared" si="3"/>
        <v/>
      </c>
    </row>
    <row r="213" spans="9:9" x14ac:dyDescent="0.25">
      <c r="I213" s="10" t="str">
        <f t="shared" si="3"/>
        <v/>
      </c>
    </row>
    <row r="214" spans="9:9" x14ac:dyDescent="0.25">
      <c r="I214" s="10" t="str">
        <f t="shared" si="3"/>
        <v/>
      </c>
    </row>
    <row r="215" spans="9:9" x14ac:dyDescent="0.25">
      <c r="I215" s="10" t="str">
        <f t="shared" si="3"/>
        <v/>
      </c>
    </row>
    <row r="216" spans="9:9" x14ac:dyDescent="0.25">
      <c r="I216" s="10" t="str">
        <f t="shared" si="3"/>
        <v/>
      </c>
    </row>
    <row r="217" spans="9:9" x14ac:dyDescent="0.25">
      <c r="I217" s="10" t="str">
        <f t="shared" si="3"/>
        <v/>
      </c>
    </row>
    <row r="218" spans="9:9" x14ac:dyDescent="0.25">
      <c r="I218" s="10" t="str">
        <f t="shared" si="3"/>
        <v/>
      </c>
    </row>
    <row r="219" spans="9:9" x14ac:dyDescent="0.25">
      <c r="I219" s="10" t="str">
        <f t="shared" si="3"/>
        <v/>
      </c>
    </row>
    <row r="220" spans="9:9" x14ac:dyDescent="0.25">
      <c r="I220" s="10" t="str">
        <f t="shared" si="3"/>
        <v/>
      </c>
    </row>
    <row r="221" spans="9:9" x14ac:dyDescent="0.25">
      <c r="I221" s="10" t="str">
        <f t="shared" si="3"/>
        <v/>
      </c>
    </row>
    <row r="222" spans="9:9" x14ac:dyDescent="0.25">
      <c r="I222" s="10" t="str">
        <f t="shared" si="3"/>
        <v/>
      </c>
    </row>
    <row r="223" spans="9:9" x14ac:dyDescent="0.25">
      <c r="I223" s="10" t="str">
        <f t="shared" si="3"/>
        <v/>
      </c>
    </row>
    <row r="224" spans="9:9" x14ac:dyDescent="0.25">
      <c r="I224" s="10" t="str">
        <f t="shared" si="3"/>
        <v/>
      </c>
    </row>
    <row r="225" spans="9:9" x14ac:dyDescent="0.25">
      <c r="I225" s="10" t="str">
        <f t="shared" si="3"/>
        <v/>
      </c>
    </row>
    <row r="226" spans="9:9" x14ac:dyDescent="0.25">
      <c r="I226" s="10" t="str">
        <f t="shared" si="3"/>
        <v/>
      </c>
    </row>
    <row r="227" spans="9:9" x14ac:dyDescent="0.25">
      <c r="I227" s="10" t="str">
        <f t="shared" si="3"/>
        <v/>
      </c>
    </row>
    <row r="228" spans="9:9" x14ac:dyDescent="0.25">
      <c r="I228" s="10" t="str">
        <f t="shared" si="3"/>
        <v/>
      </c>
    </row>
    <row r="229" spans="9:9" x14ac:dyDescent="0.25">
      <c r="I229" s="10" t="str">
        <f t="shared" si="3"/>
        <v/>
      </c>
    </row>
    <row r="230" spans="9:9" x14ac:dyDescent="0.25">
      <c r="I230" s="10" t="str">
        <f t="shared" si="3"/>
        <v/>
      </c>
    </row>
    <row r="231" spans="9:9" x14ac:dyDescent="0.25">
      <c r="I231" s="10" t="str">
        <f t="shared" si="3"/>
        <v/>
      </c>
    </row>
    <row r="232" spans="9:9" x14ac:dyDescent="0.25">
      <c r="I232" s="10" t="str">
        <f t="shared" si="3"/>
        <v/>
      </c>
    </row>
    <row r="233" spans="9:9" x14ac:dyDescent="0.25">
      <c r="I233" s="10" t="str">
        <f t="shared" si="3"/>
        <v/>
      </c>
    </row>
    <row r="234" spans="9:9" x14ac:dyDescent="0.25">
      <c r="I234" s="10" t="str">
        <f t="shared" si="3"/>
        <v/>
      </c>
    </row>
    <row r="235" spans="9:9" x14ac:dyDescent="0.25">
      <c r="I235" s="10" t="str">
        <f t="shared" si="3"/>
        <v/>
      </c>
    </row>
    <row r="236" spans="9:9" x14ac:dyDescent="0.25">
      <c r="I236" s="10" t="str">
        <f t="shared" si="3"/>
        <v/>
      </c>
    </row>
    <row r="237" spans="9:9" x14ac:dyDescent="0.25">
      <c r="I237" s="10" t="str">
        <f t="shared" si="3"/>
        <v/>
      </c>
    </row>
    <row r="238" spans="9:9" x14ac:dyDescent="0.25">
      <c r="I238" s="10" t="str">
        <f t="shared" si="3"/>
        <v/>
      </c>
    </row>
    <row r="239" spans="9:9" x14ac:dyDescent="0.25">
      <c r="I239" s="10" t="str">
        <f t="shared" si="3"/>
        <v/>
      </c>
    </row>
    <row r="240" spans="9:9" x14ac:dyDescent="0.25">
      <c r="I240" s="10" t="str">
        <f t="shared" si="3"/>
        <v/>
      </c>
    </row>
    <row r="241" spans="9:9" x14ac:dyDescent="0.25">
      <c r="I241" s="10" t="str">
        <f t="shared" si="3"/>
        <v/>
      </c>
    </row>
    <row r="242" spans="9:9" x14ac:dyDescent="0.25">
      <c r="I242" s="10" t="str">
        <f t="shared" si="3"/>
        <v/>
      </c>
    </row>
    <row r="243" spans="9:9" x14ac:dyDescent="0.25">
      <c r="I243" s="10" t="str">
        <f t="shared" si="3"/>
        <v/>
      </c>
    </row>
    <row r="244" spans="9:9" x14ac:dyDescent="0.25">
      <c r="I244" s="10" t="str">
        <f t="shared" si="3"/>
        <v/>
      </c>
    </row>
    <row r="245" spans="9:9" x14ac:dyDescent="0.25">
      <c r="I245" s="10" t="str">
        <f t="shared" si="3"/>
        <v/>
      </c>
    </row>
    <row r="246" spans="9:9" x14ac:dyDescent="0.25">
      <c r="I246" s="10" t="str">
        <f t="shared" si="3"/>
        <v/>
      </c>
    </row>
    <row r="247" spans="9:9" x14ac:dyDescent="0.25">
      <c r="I247" s="10" t="str">
        <f t="shared" si="3"/>
        <v/>
      </c>
    </row>
    <row r="248" spans="9:9" x14ac:dyDescent="0.25">
      <c r="I248" s="10" t="str">
        <f t="shared" si="3"/>
        <v/>
      </c>
    </row>
    <row r="249" spans="9:9" x14ac:dyDescent="0.25">
      <c r="I249" s="10" t="str">
        <f t="shared" si="3"/>
        <v/>
      </c>
    </row>
    <row r="250" spans="9:9" x14ac:dyDescent="0.25">
      <c r="I250" s="10" t="str">
        <f t="shared" si="3"/>
        <v/>
      </c>
    </row>
    <row r="251" spans="9:9" x14ac:dyDescent="0.25">
      <c r="I251" s="10" t="str">
        <f t="shared" si="3"/>
        <v/>
      </c>
    </row>
    <row r="252" spans="9:9" x14ac:dyDescent="0.25">
      <c r="I252" s="10" t="str">
        <f t="shared" si="3"/>
        <v/>
      </c>
    </row>
    <row r="253" spans="9:9" x14ac:dyDescent="0.25">
      <c r="I253" s="10" t="str">
        <f t="shared" si="3"/>
        <v/>
      </c>
    </row>
    <row r="254" spans="9:9" x14ac:dyDescent="0.25">
      <c r="I254" s="10" t="str">
        <f t="shared" si="3"/>
        <v/>
      </c>
    </row>
    <row r="255" spans="9:9" x14ac:dyDescent="0.25">
      <c r="I255" s="10" t="str">
        <f t="shared" si="3"/>
        <v/>
      </c>
    </row>
    <row r="256" spans="9:9" x14ac:dyDescent="0.25">
      <c r="I256" s="10" t="str">
        <f t="shared" si="3"/>
        <v/>
      </c>
    </row>
    <row r="257" spans="9:9" x14ac:dyDescent="0.25">
      <c r="I257" s="10" t="str">
        <f t="shared" si="3"/>
        <v/>
      </c>
    </row>
    <row r="258" spans="9:9" x14ac:dyDescent="0.25">
      <c r="I258" s="10" t="str">
        <f t="shared" si="3"/>
        <v/>
      </c>
    </row>
    <row r="259" spans="9:9" x14ac:dyDescent="0.25">
      <c r="I259" s="10" t="str">
        <f t="shared" ref="I259:I322" si="4">IFERROR(DATEVALUE(D259),"")</f>
        <v/>
      </c>
    </row>
    <row r="260" spans="9:9" x14ac:dyDescent="0.25">
      <c r="I260" s="10" t="str">
        <f t="shared" si="4"/>
        <v/>
      </c>
    </row>
    <row r="261" spans="9:9" x14ac:dyDescent="0.25">
      <c r="I261" s="10" t="str">
        <f t="shared" si="4"/>
        <v/>
      </c>
    </row>
    <row r="262" spans="9:9" x14ac:dyDescent="0.25">
      <c r="I262" s="10" t="str">
        <f t="shared" si="4"/>
        <v/>
      </c>
    </row>
    <row r="263" spans="9:9" x14ac:dyDescent="0.25">
      <c r="I263" s="10" t="str">
        <f t="shared" si="4"/>
        <v/>
      </c>
    </row>
    <row r="264" spans="9:9" x14ac:dyDescent="0.25">
      <c r="I264" s="10" t="str">
        <f t="shared" si="4"/>
        <v/>
      </c>
    </row>
    <row r="265" spans="9:9" x14ac:dyDescent="0.25">
      <c r="I265" s="10" t="str">
        <f t="shared" si="4"/>
        <v/>
      </c>
    </row>
    <row r="266" spans="9:9" x14ac:dyDescent="0.25">
      <c r="I266" s="10" t="str">
        <f t="shared" si="4"/>
        <v/>
      </c>
    </row>
    <row r="267" spans="9:9" x14ac:dyDescent="0.25">
      <c r="I267" s="10" t="str">
        <f t="shared" si="4"/>
        <v/>
      </c>
    </row>
    <row r="268" spans="9:9" x14ac:dyDescent="0.25">
      <c r="I268" s="10" t="str">
        <f t="shared" si="4"/>
        <v/>
      </c>
    </row>
    <row r="269" spans="9:9" x14ac:dyDescent="0.25">
      <c r="I269" s="10" t="str">
        <f t="shared" si="4"/>
        <v/>
      </c>
    </row>
    <row r="270" spans="9:9" x14ac:dyDescent="0.25">
      <c r="I270" s="10" t="str">
        <f t="shared" si="4"/>
        <v/>
      </c>
    </row>
    <row r="271" spans="9:9" x14ac:dyDescent="0.25">
      <c r="I271" s="10" t="str">
        <f t="shared" si="4"/>
        <v/>
      </c>
    </row>
    <row r="272" spans="9:9" x14ac:dyDescent="0.25">
      <c r="I272" s="10" t="str">
        <f t="shared" si="4"/>
        <v/>
      </c>
    </row>
    <row r="273" spans="9:9" x14ac:dyDescent="0.25">
      <c r="I273" s="10" t="str">
        <f t="shared" si="4"/>
        <v/>
      </c>
    </row>
    <row r="274" spans="9:9" x14ac:dyDescent="0.25">
      <c r="I274" s="10" t="str">
        <f t="shared" si="4"/>
        <v/>
      </c>
    </row>
    <row r="275" spans="9:9" x14ac:dyDescent="0.25">
      <c r="I275" s="10" t="str">
        <f t="shared" si="4"/>
        <v/>
      </c>
    </row>
    <row r="276" spans="9:9" x14ac:dyDescent="0.25">
      <c r="I276" s="10" t="str">
        <f t="shared" si="4"/>
        <v/>
      </c>
    </row>
    <row r="277" spans="9:9" x14ac:dyDescent="0.25">
      <c r="I277" s="10" t="str">
        <f t="shared" si="4"/>
        <v/>
      </c>
    </row>
    <row r="278" spans="9:9" x14ac:dyDescent="0.25">
      <c r="I278" s="10" t="str">
        <f t="shared" si="4"/>
        <v/>
      </c>
    </row>
    <row r="279" spans="9:9" x14ac:dyDescent="0.25">
      <c r="I279" s="10" t="str">
        <f t="shared" si="4"/>
        <v/>
      </c>
    </row>
    <row r="280" spans="9:9" x14ac:dyDescent="0.25">
      <c r="I280" s="10" t="str">
        <f t="shared" si="4"/>
        <v/>
      </c>
    </row>
    <row r="281" spans="9:9" x14ac:dyDescent="0.25">
      <c r="I281" s="10" t="str">
        <f t="shared" si="4"/>
        <v/>
      </c>
    </row>
    <row r="282" spans="9:9" x14ac:dyDescent="0.25">
      <c r="I282" s="10" t="str">
        <f t="shared" si="4"/>
        <v/>
      </c>
    </row>
    <row r="283" spans="9:9" x14ac:dyDescent="0.25">
      <c r="I283" s="10" t="str">
        <f t="shared" si="4"/>
        <v/>
      </c>
    </row>
    <row r="284" spans="9:9" x14ac:dyDescent="0.25">
      <c r="I284" s="10" t="str">
        <f t="shared" si="4"/>
        <v/>
      </c>
    </row>
    <row r="285" spans="9:9" x14ac:dyDescent="0.25">
      <c r="I285" s="10" t="str">
        <f t="shared" si="4"/>
        <v/>
      </c>
    </row>
    <row r="286" spans="9:9" x14ac:dyDescent="0.25">
      <c r="I286" s="10" t="str">
        <f t="shared" si="4"/>
        <v/>
      </c>
    </row>
    <row r="287" spans="9:9" x14ac:dyDescent="0.25">
      <c r="I287" s="10" t="str">
        <f t="shared" si="4"/>
        <v/>
      </c>
    </row>
    <row r="288" spans="9:9" x14ac:dyDescent="0.25">
      <c r="I288" s="10" t="str">
        <f t="shared" si="4"/>
        <v/>
      </c>
    </row>
    <row r="289" spans="9:9" x14ac:dyDescent="0.25">
      <c r="I289" s="10" t="str">
        <f t="shared" si="4"/>
        <v/>
      </c>
    </row>
    <row r="290" spans="9:9" x14ac:dyDescent="0.25">
      <c r="I290" s="10" t="str">
        <f t="shared" si="4"/>
        <v/>
      </c>
    </row>
    <row r="291" spans="9:9" x14ac:dyDescent="0.25">
      <c r="I291" s="10" t="str">
        <f t="shared" si="4"/>
        <v/>
      </c>
    </row>
    <row r="292" spans="9:9" x14ac:dyDescent="0.25">
      <c r="I292" s="10" t="str">
        <f t="shared" si="4"/>
        <v/>
      </c>
    </row>
    <row r="293" spans="9:9" x14ac:dyDescent="0.25">
      <c r="I293" s="10" t="str">
        <f t="shared" si="4"/>
        <v/>
      </c>
    </row>
    <row r="294" spans="9:9" x14ac:dyDescent="0.25">
      <c r="I294" s="10" t="str">
        <f t="shared" si="4"/>
        <v/>
      </c>
    </row>
    <row r="295" spans="9:9" x14ac:dyDescent="0.25">
      <c r="I295" s="10" t="str">
        <f t="shared" si="4"/>
        <v/>
      </c>
    </row>
    <row r="296" spans="9:9" x14ac:dyDescent="0.25">
      <c r="I296" s="10" t="str">
        <f t="shared" si="4"/>
        <v/>
      </c>
    </row>
    <row r="297" spans="9:9" x14ac:dyDescent="0.25">
      <c r="I297" s="10" t="str">
        <f t="shared" si="4"/>
        <v/>
      </c>
    </row>
    <row r="298" spans="9:9" x14ac:dyDescent="0.25">
      <c r="I298" s="10" t="str">
        <f t="shared" si="4"/>
        <v/>
      </c>
    </row>
    <row r="299" spans="9:9" x14ac:dyDescent="0.25">
      <c r="I299" s="10" t="str">
        <f t="shared" si="4"/>
        <v/>
      </c>
    </row>
    <row r="300" spans="9:9" x14ac:dyDescent="0.25">
      <c r="I300" s="10" t="str">
        <f t="shared" si="4"/>
        <v/>
      </c>
    </row>
    <row r="301" spans="9:9" x14ac:dyDescent="0.25">
      <c r="I301" s="10" t="str">
        <f t="shared" si="4"/>
        <v/>
      </c>
    </row>
    <row r="302" spans="9:9" x14ac:dyDescent="0.25">
      <c r="I302" s="10" t="str">
        <f t="shared" si="4"/>
        <v/>
      </c>
    </row>
    <row r="303" spans="9:9" x14ac:dyDescent="0.25">
      <c r="I303" s="10" t="str">
        <f t="shared" si="4"/>
        <v/>
      </c>
    </row>
    <row r="304" spans="9:9" x14ac:dyDescent="0.25">
      <c r="I304" s="10" t="str">
        <f t="shared" si="4"/>
        <v/>
      </c>
    </row>
    <row r="305" spans="9:9" x14ac:dyDescent="0.25">
      <c r="I305" s="10" t="str">
        <f t="shared" si="4"/>
        <v/>
      </c>
    </row>
    <row r="306" spans="9:9" x14ac:dyDescent="0.25">
      <c r="I306" s="10" t="str">
        <f t="shared" si="4"/>
        <v/>
      </c>
    </row>
    <row r="307" spans="9:9" x14ac:dyDescent="0.25">
      <c r="I307" s="10" t="str">
        <f t="shared" si="4"/>
        <v/>
      </c>
    </row>
    <row r="308" spans="9:9" x14ac:dyDescent="0.25">
      <c r="I308" s="10" t="str">
        <f t="shared" si="4"/>
        <v/>
      </c>
    </row>
    <row r="309" spans="9:9" x14ac:dyDescent="0.25">
      <c r="I309" s="10" t="str">
        <f t="shared" si="4"/>
        <v/>
      </c>
    </row>
    <row r="310" spans="9:9" x14ac:dyDescent="0.25">
      <c r="I310" s="10" t="str">
        <f t="shared" si="4"/>
        <v/>
      </c>
    </row>
    <row r="311" spans="9:9" x14ac:dyDescent="0.25">
      <c r="I311" s="10" t="str">
        <f t="shared" si="4"/>
        <v/>
      </c>
    </row>
    <row r="312" spans="9:9" x14ac:dyDescent="0.25">
      <c r="I312" s="10" t="str">
        <f t="shared" si="4"/>
        <v/>
      </c>
    </row>
    <row r="313" spans="9:9" x14ac:dyDescent="0.25">
      <c r="I313" s="10" t="str">
        <f t="shared" si="4"/>
        <v/>
      </c>
    </row>
    <row r="314" spans="9:9" x14ac:dyDescent="0.25">
      <c r="I314" s="10" t="str">
        <f t="shared" si="4"/>
        <v/>
      </c>
    </row>
    <row r="315" spans="9:9" x14ac:dyDescent="0.25">
      <c r="I315" s="10" t="str">
        <f t="shared" si="4"/>
        <v/>
      </c>
    </row>
    <row r="316" spans="9:9" x14ac:dyDescent="0.25">
      <c r="I316" s="10" t="str">
        <f t="shared" si="4"/>
        <v/>
      </c>
    </row>
    <row r="317" spans="9:9" x14ac:dyDescent="0.25">
      <c r="I317" s="10" t="str">
        <f t="shared" si="4"/>
        <v/>
      </c>
    </row>
    <row r="318" spans="9:9" x14ac:dyDescent="0.25">
      <c r="I318" s="10" t="str">
        <f t="shared" si="4"/>
        <v/>
      </c>
    </row>
    <row r="319" spans="9:9" x14ac:dyDescent="0.25">
      <c r="I319" s="10" t="str">
        <f t="shared" si="4"/>
        <v/>
      </c>
    </row>
    <row r="320" spans="9:9" x14ac:dyDescent="0.25">
      <c r="I320" s="10" t="str">
        <f t="shared" si="4"/>
        <v/>
      </c>
    </row>
    <row r="321" spans="9:9" x14ac:dyDescent="0.25">
      <c r="I321" s="10" t="str">
        <f t="shared" si="4"/>
        <v/>
      </c>
    </row>
    <row r="322" spans="9:9" x14ac:dyDescent="0.25">
      <c r="I322" s="10" t="str">
        <f t="shared" si="4"/>
        <v/>
      </c>
    </row>
    <row r="323" spans="9:9" x14ac:dyDescent="0.25">
      <c r="I323" s="10" t="str">
        <f t="shared" ref="I323:I386" si="5">IFERROR(DATEVALUE(D323),"")</f>
        <v/>
      </c>
    </row>
    <row r="324" spans="9:9" x14ac:dyDescent="0.25">
      <c r="I324" s="10" t="str">
        <f t="shared" si="5"/>
        <v/>
      </c>
    </row>
    <row r="325" spans="9:9" x14ac:dyDescent="0.25">
      <c r="I325" s="10" t="str">
        <f t="shared" si="5"/>
        <v/>
      </c>
    </row>
    <row r="326" spans="9:9" x14ac:dyDescent="0.25">
      <c r="I326" s="10" t="str">
        <f t="shared" si="5"/>
        <v/>
      </c>
    </row>
    <row r="327" spans="9:9" x14ac:dyDescent="0.25">
      <c r="I327" s="10" t="str">
        <f t="shared" si="5"/>
        <v/>
      </c>
    </row>
    <row r="328" spans="9:9" x14ac:dyDescent="0.25">
      <c r="I328" s="10" t="str">
        <f t="shared" si="5"/>
        <v/>
      </c>
    </row>
    <row r="329" spans="9:9" x14ac:dyDescent="0.25">
      <c r="I329" s="10" t="str">
        <f t="shared" si="5"/>
        <v/>
      </c>
    </row>
    <row r="330" spans="9:9" x14ac:dyDescent="0.25">
      <c r="I330" s="10" t="str">
        <f t="shared" si="5"/>
        <v/>
      </c>
    </row>
    <row r="331" spans="9:9" x14ac:dyDescent="0.25">
      <c r="I331" s="10" t="str">
        <f t="shared" si="5"/>
        <v/>
      </c>
    </row>
    <row r="332" spans="9:9" x14ac:dyDescent="0.25">
      <c r="I332" s="10" t="str">
        <f t="shared" si="5"/>
        <v/>
      </c>
    </row>
    <row r="333" spans="9:9" x14ac:dyDescent="0.25">
      <c r="I333" s="10" t="str">
        <f t="shared" si="5"/>
        <v/>
      </c>
    </row>
    <row r="334" spans="9:9" x14ac:dyDescent="0.25">
      <c r="I334" s="10" t="str">
        <f t="shared" si="5"/>
        <v/>
      </c>
    </row>
    <row r="335" spans="9:9" x14ac:dyDescent="0.25">
      <c r="I335" s="10" t="str">
        <f t="shared" si="5"/>
        <v/>
      </c>
    </row>
    <row r="336" spans="9:9" x14ac:dyDescent="0.25">
      <c r="I336" s="10" t="str">
        <f t="shared" si="5"/>
        <v/>
      </c>
    </row>
    <row r="337" spans="9:9" x14ac:dyDescent="0.25">
      <c r="I337" s="10" t="str">
        <f t="shared" si="5"/>
        <v/>
      </c>
    </row>
    <row r="338" spans="9:9" x14ac:dyDescent="0.25">
      <c r="I338" s="10" t="str">
        <f t="shared" si="5"/>
        <v/>
      </c>
    </row>
    <row r="339" spans="9:9" x14ac:dyDescent="0.25">
      <c r="I339" s="10" t="str">
        <f t="shared" si="5"/>
        <v/>
      </c>
    </row>
    <row r="340" spans="9:9" x14ac:dyDescent="0.25">
      <c r="I340" s="10" t="str">
        <f t="shared" si="5"/>
        <v/>
      </c>
    </row>
    <row r="341" spans="9:9" x14ac:dyDescent="0.25">
      <c r="I341" s="10" t="str">
        <f t="shared" si="5"/>
        <v/>
      </c>
    </row>
    <row r="342" spans="9:9" x14ac:dyDescent="0.25">
      <c r="I342" s="10" t="str">
        <f t="shared" si="5"/>
        <v/>
      </c>
    </row>
    <row r="343" spans="9:9" x14ac:dyDescent="0.25">
      <c r="I343" s="10" t="str">
        <f t="shared" si="5"/>
        <v/>
      </c>
    </row>
    <row r="344" spans="9:9" x14ac:dyDescent="0.25">
      <c r="I344" s="10" t="str">
        <f t="shared" si="5"/>
        <v/>
      </c>
    </row>
    <row r="345" spans="9:9" x14ac:dyDescent="0.25">
      <c r="I345" s="10" t="str">
        <f t="shared" si="5"/>
        <v/>
      </c>
    </row>
    <row r="346" spans="9:9" x14ac:dyDescent="0.25">
      <c r="I346" s="10" t="str">
        <f t="shared" si="5"/>
        <v/>
      </c>
    </row>
    <row r="347" spans="9:9" x14ac:dyDescent="0.25">
      <c r="I347" s="10" t="str">
        <f t="shared" si="5"/>
        <v/>
      </c>
    </row>
    <row r="348" spans="9:9" x14ac:dyDescent="0.25">
      <c r="I348" s="10" t="str">
        <f t="shared" si="5"/>
        <v/>
      </c>
    </row>
    <row r="349" spans="9:9" x14ac:dyDescent="0.25">
      <c r="I349" s="10" t="str">
        <f t="shared" si="5"/>
        <v/>
      </c>
    </row>
    <row r="350" spans="9:9" x14ac:dyDescent="0.25">
      <c r="I350" s="10" t="str">
        <f t="shared" si="5"/>
        <v/>
      </c>
    </row>
    <row r="351" spans="9:9" x14ac:dyDescent="0.25">
      <c r="I351" s="10" t="str">
        <f t="shared" si="5"/>
        <v/>
      </c>
    </row>
    <row r="352" spans="9:9" x14ac:dyDescent="0.25">
      <c r="I352" s="10" t="str">
        <f t="shared" si="5"/>
        <v/>
      </c>
    </row>
    <row r="353" spans="9:9" x14ac:dyDescent="0.25">
      <c r="I353" s="10" t="str">
        <f t="shared" si="5"/>
        <v/>
      </c>
    </row>
    <row r="354" spans="9:9" x14ac:dyDescent="0.25">
      <c r="I354" s="10" t="str">
        <f t="shared" si="5"/>
        <v/>
      </c>
    </row>
    <row r="355" spans="9:9" x14ac:dyDescent="0.25">
      <c r="I355" s="10" t="str">
        <f t="shared" si="5"/>
        <v/>
      </c>
    </row>
    <row r="356" spans="9:9" x14ac:dyDescent="0.25">
      <c r="I356" s="10" t="str">
        <f t="shared" si="5"/>
        <v/>
      </c>
    </row>
    <row r="357" spans="9:9" x14ac:dyDescent="0.25">
      <c r="I357" s="10" t="str">
        <f t="shared" si="5"/>
        <v/>
      </c>
    </row>
    <row r="358" spans="9:9" x14ac:dyDescent="0.25">
      <c r="I358" s="10" t="str">
        <f t="shared" si="5"/>
        <v/>
      </c>
    </row>
    <row r="359" spans="9:9" x14ac:dyDescent="0.25">
      <c r="I359" s="10" t="str">
        <f t="shared" si="5"/>
        <v/>
      </c>
    </row>
    <row r="360" spans="9:9" x14ac:dyDescent="0.25">
      <c r="I360" s="10" t="str">
        <f t="shared" si="5"/>
        <v/>
      </c>
    </row>
    <row r="361" spans="9:9" x14ac:dyDescent="0.25">
      <c r="I361" s="10" t="str">
        <f t="shared" si="5"/>
        <v/>
      </c>
    </row>
    <row r="362" spans="9:9" x14ac:dyDescent="0.25">
      <c r="I362" s="10" t="str">
        <f t="shared" si="5"/>
        <v/>
      </c>
    </row>
    <row r="363" spans="9:9" x14ac:dyDescent="0.25">
      <c r="I363" s="10" t="str">
        <f t="shared" si="5"/>
        <v/>
      </c>
    </row>
    <row r="364" spans="9:9" x14ac:dyDescent="0.25">
      <c r="I364" s="10" t="str">
        <f t="shared" si="5"/>
        <v/>
      </c>
    </row>
    <row r="365" spans="9:9" x14ac:dyDescent="0.25">
      <c r="I365" s="10" t="str">
        <f t="shared" si="5"/>
        <v/>
      </c>
    </row>
    <row r="366" spans="9:9" x14ac:dyDescent="0.25">
      <c r="I366" s="10" t="str">
        <f t="shared" si="5"/>
        <v/>
      </c>
    </row>
    <row r="367" spans="9:9" x14ac:dyDescent="0.25">
      <c r="I367" s="10" t="str">
        <f t="shared" si="5"/>
        <v/>
      </c>
    </row>
    <row r="368" spans="9:9" x14ac:dyDescent="0.25">
      <c r="I368" s="10" t="str">
        <f t="shared" si="5"/>
        <v/>
      </c>
    </row>
    <row r="369" spans="9:9" x14ac:dyDescent="0.25">
      <c r="I369" s="10" t="str">
        <f t="shared" si="5"/>
        <v/>
      </c>
    </row>
    <row r="370" spans="9:9" x14ac:dyDescent="0.25">
      <c r="I370" s="10" t="str">
        <f t="shared" si="5"/>
        <v/>
      </c>
    </row>
    <row r="371" spans="9:9" x14ac:dyDescent="0.25">
      <c r="I371" s="10" t="str">
        <f t="shared" si="5"/>
        <v/>
      </c>
    </row>
    <row r="372" spans="9:9" x14ac:dyDescent="0.25">
      <c r="I372" s="10" t="str">
        <f t="shared" si="5"/>
        <v/>
      </c>
    </row>
    <row r="373" spans="9:9" x14ac:dyDescent="0.25">
      <c r="I373" s="10" t="str">
        <f t="shared" si="5"/>
        <v/>
      </c>
    </row>
    <row r="374" spans="9:9" x14ac:dyDescent="0.25">
      <c r="I374" s="10" t="str">
        <f t="shared" si="5"/>
        <v/>
      </c>
    </row>
    <row r="375" spans="9:9" x14ac:dyDescent="0.25">
      <c r="I375" s="10" t="str">
        <f t="shared" si="5"/>
        <v/>
      </c>
    </row>
    <row r="376" spans="9:9" x14ac:dyDescent="0.25">
      <c r="I376" s="10" t="str">
        <f t="shared" si="5"/>
        <v/>
      </c>
    </row>
    <row r="377" spans="9:9" x14ac:dyDescent="0.25">
      <c r="I377" s="10" t="str">
        <f t="shared" si="5"/>
        <v/>
      </c>
    </row>
    <row r="378" spans="9:9" x14ac:dyDescent="0.25">
      <c r="I378" s="10" t="str">
        <f t="shared" si="5"/>
        <v/>
      </c>
    </row>
    <row r="379" spans="9:9" x14ac:dyDescent="0.25">
      <c r="I379" s="10" t="str">
        <f t="shared" si="5"/>
        <v/>
      </c>
    </row>
    <row r="380" spans="9:9" x14ac:dyDescent="0.25">
      <c r="I380" s="10" t="str">
        <f t="shared" si="5"/>
        <v/>
      </c>
    </row>
    <row r="381" spans="9:9" x14ac:dyDescent="0.25">
      <c r="I381" s="10" t="str">
        <f t="shared" si="5"/>
        <v/>
      </c>
    </row>
    <row r="382" spans="9:9" x14ac:dyDescent="0.25">
      <c r="I382" s="10" t="str">
        <f t="shared" si="5"/>
        <v/>
      </c>
    </row>
    <row r="383" spans="9:9" x14ac:dyDescent="0.25">
      <c r="I383" s="10" t="str">
        <f t="shared" si="5"/>
        <v/>
      </c>
    </row>
    <row r="384" spans="9:9" x14ac:dyDescent="0.25">
      <c r="I384" s="10" t="str">
        <f t="shared" si="5"/>
        <v/>
      </c>
    </row>
    <row r="385" spans="9:9" x14ac:dyDescent="0.25">
      <c r="I385" s="10" t="str">
        <f t="shared" si="5"/>
        <v/>
      </c>
    </row>
    <row r="386" spans="9:9" x14ac:dyDescent="0.25">
      <c r="I386" s="10" t="str">
        <f t="shared" si="5"/>
        <v/>
      </c>
    </row>
    <row r="387" spans="9:9" x14ac:dyDescent="0.25">
      <c r="I387" s="10" t="str">
        <f t="shared" ref="I387:I450" si="6">IFERROR(DATEVALUE(D387),"")</f>
        <v/>
      </c>
    </row>
    <row r="388" spans="9:9" x14ac:dyDescent="0.25">
      <c r="I388" s="10" t="str">
        <f t="shared" si="6"/>
        <v/>
      </c>
    </row>
    <row r="389" spans="9:9" x14ac:dyDescent="0.25">
      <c r="I389" s="10" t="str">
        <f t="shared" si="6"/>
        <v/>
      </c>
    </row>
    <row r="390" spans="9:9" x14ac:dyDescent="0.25">
      <c r="I390" s="10" t="str">
        <f t="shared" si="6"/>
        <v/>
      </c>
    </row>
    <row r="391" spans="9:9" x14ac:dyDescent="0.25">
      <c r="I391" s="10" t="str">
        <f t="shared" si="6"/>
        <v/>
      </c>
    </row>
    <row r="392" spans="9:9" x14ac:dyDescent="0.25">
      <c r="I392" s="10" t="str">
        <f t="shared" si="6"/>
        <v/>
      </c>
    </row>
    <row r="393" spans="9:9" x14ac:dyDescent="0.25">
      <c r="I393" s="10" t="str">
        <f t="shared" si="6"/>
        <v/>
      </c>
    </row>
    <row r="394" spans="9:9" x14ac:dyDescent="0.25">
      <c r="I394" s="10" t="str">
        <f t="shared" si="6"/>
        <v/>
      </c>
    </row>
    <row r="395" spans="9:9" x14ac:dyDescent="0.25">
      <c r="I395" s="10" t="str">
        <f t="shared" si="6"/>
        <v/>
      </c>
    </row>
    <row r="396" spans="9:9" x14ac:dyDescent="0.25">
      <c r="I396" s="10" t="str">
        <f t="shared" si="6"/>
        <v/>
      </c>
    </row>
    <row r="397" spans="9:9" x14ac:dyDescent="0.25">
      <c r="I397" s="10" t="str">
        <f t="shared" si="6"/>
        <v/>
      </c>
    </row>
    <row r="398" spans="9:9" x14ac:dyDescent="0.25">
      <c r="I398" s="10" t="str">
        <f t="shared" si="6"/>
        <v/>
      </c>
    </row>
    <row r="399" spans="9:9" x14ac:dyDescent="0.25">
      <c r="I399" s="10" t="str">
        <f t="shared" si="6"/>
        <v/>
      </c>
    </row>
    <row r="400" spans="9:9" x14ac:dyDescent="0.25">
      <c r="I400" s="10" t="str">
        <f t="shared" si="6"/>
        <v/>
      </c>
    </row>
    <row r="401" spans="9:9" x14ac:dyDescent="0.25">
      <c r="I401" s="10" t="str">
        <f t="shared" si="6"/>
        <v/>
      </c>
    </row>
    <row r="402" spans="9:9" x14ac:dyDescent="0.25">
      <c r="I402" s="10" t="str">
        <f t="shared" si="6"/>
        <v/>
      </c>
    </row>
    <row r="403" spans="9:9" x14ac:dyDescent="0.25">
      <c r="I403" s="10" t="str">
        <f t="shared" si="6"/>
        <v/>
      </c>
    </row>
    <row r="404" spans="9:9" x14ac:dyDescent="0.25">
      <c r="I404" s="10" t="str">
        <f t="shared" si="6"/>
        <v/>
      </c>
    </row>
    <row r="405" spans="9:9" x14ac:dyDescent="0.25">
      <c r="I405" s="10" t="str">
        <f t="shared" si="6"/>
        <v/>
      </c>
    </row>
    <row r="406" spans="9:9" x14ac:dyDescent="0.25">
      <c r="I406" s="10" t="str">
        <f t="shared" si="6"/>
        <v/>
      </c>
    </row>
    <row r="407" spans="9:9" x14ac:dyDescent="0.25">
      <c r="I407" s="10" t="str">
        <f t="shared" si="6"/>
        <v/>
      </c>
    </row>
    <row r="408" spans="9:9" x14ac:dyDescent="0.25">
      <c r="I408" s="10" t="str">
        <f t="shared" si="6"/>
        <v/>
      </c>
    </row>
    <row r="409" spans="9:9" x14ac:dyDescent="0.25">
      <c r="I409" s="10" t="str">
        <f t="shared" si="6"/>
        <v/>
      </c>
    </row>
    <row r="410" spans="9:9" x14ac:dyDescent="0.25">
      <c r="I410" s="10" t="str">
        <f t="shared" si="6"/>
        <v/>
      </c>
    </row>
    <row r="411" spans="9:9" x14ac:dyDescent="0.25">
      <c r="I411" s="10" t="str">
        <f t="shared" si="6"/>
        <v/>
      </c>
    </row>
    <row r="412" spans="9:9" x14ac:dyDescent="0.25">
      <c r="I412" s="10" t="str">
        <f t="shared" si="6"/>
        <v/>
      </c>
    </row>
    <row r="413" spans="9:9" x14ac:dyDescent="0.25">
      <c r="I413" s="10" t="str">
        <f t="shared" si="6"/>
        <v/>
      </c>
    </row>
    <row r="414" spans="9:9" x14ac:dyDescent="0.25">
      <c r="I414" s="10" t="str">
        <f t="shared" si="6"/>
        <v/>
      </c>
    </row>
    <row r="415" spans="9:9" x14ac:dyDescent="0.25">
      <c r="I415" s="10" t="str">
        <f t="shared" si="6"/>
        <v/>
      </c>
    </row>
    <row r="416" spans="9:9" x14ac:dyDescent="0.25">
      <c r="I416" s="10" t="str">
        <f t="shared" si="6"/>
        <v/>
      </c>
    </row>
    <row r="417" spans="9:9" x14ac:dyDescent="0.25">
      <c r="I417" s="10" t="str">
        <f t="shared" si="6"/>
        <v/>
      </c>
    </row>
    <row r="418" spans="9:9" x14ac:dyDescent="0.25">
      <c r="I418" s="10" t="str">
        <f t="shared" si="6"/>
        <v/>
      </c>
    </row>
    <row r="419" spans="9:9" x14ac:dyDescent="0.25">
      <c r="I419" s="10" t="str">
        <f t="shared" si="6"/>
        <v/>
      </c>
    </row>
    <row r="420" spans="9:9" x14ac:dyDescent="0.25">
      <c r="I420" s="10" t="str">
        <f t="shared" si="6"/>
        <v/>
      </c>
    </row>
    <row r="421" spans="9:9" x14ac:dyDescent="0.25">
      <c r="I421" s="10" t="str">
        <f t="shared" si="6"/>
        <v/>
      </c>
    </row>
    <row r="422" spans="9:9" x14ac:dyDescent="0.25">
      <c r="I422" s="10" t="str">
        <f t="shared" si="6"/>
        <v/>
      </c>
    </row>
    <row r="423" spans="9:9" x14ac:dyDescent="0.25">
      <c r="I423" s="10" t="str">
        <f t="shared" si="6"/>
        <v/>
      </c>
    </row>
    <row r="424" spans="9:9" x14ac:dyDescent="0.25">
      <c r="I424" s="10" t="str">
        <f t="shared" si="6"/>
        <v/>
      </c>
    </row>
    <row r="425" spans="9:9" x14ac:dyDescent="0.25">
      <c r="I425" s="10" t="str">
        <f t="shared" si="6"/>
        <v/>
      </c>
    </row>
    <row r="426" spans="9:9" x14ac:dyDescent="0.25">
      <c r="I426" s="10" t="str">
        <f t="shared" si="6"/>
        <v/>
      </c>
    </row>
    <row r="427" spans="9:9" x14ac:dyDescent="0.25">
      <c r="I427" s="10" t="str">
        <f t="shared" si="6"/>
        <v/>
      </c>
    </row>
    <row r="428" spans="9:9" x14ac:dyDescent="0.25">
      <c r="I428" s="10" t="str">
        <f t="shared" si="6"/>
        <v/>
      </c>
    </row>
    <row r="429" spans="9:9" x14ac:dyDescent="0.25">
      <c r="I429" s="10" t="str">
        <f t="shared" si="6"/>
        <v/>
      </c>
    </row>
    <row r="430" spans="9:9" x14ac:dyDescent="0.25">
      <c r="I430" s="10" t="str">
        <f t="shared" si="6"/>
        <v/>
      </c>
    </row>
    <row r="431" spans="9:9" x14ac:dyDescent="0.25">
      <c r="I431" s="10" t="str">
        <f t="shared" si="6"/>
        <v/>
      </c>
    </row>
    <row r="432" spans="9:9" x14ac:dyDescent="0.25">
      <c r="I432" s="10" t="str">
        <f t="shared" si="6"/>
        <v/>
      </c>
    </row>
    <row r="433" spans="9:9" x14ac:dyDescent="0.25">
      <c r="I433" s="10" t="str">
        <f t="shared" si="6"/>
        <v/>
      </c>
    </row>
    <row r="434" spans="9:9" x14ac:dyDescent="0.25">
      <c r="I434" s="10" t="str">
        <f t="shared" si="6"/>
        <v/>
      </c>
    </row>
    <row r="435" spans="9:9" x14ac:dyDescent="0.25">
      <c r="I435" s="10" t="str">
        <f t="shared" si="6"/>
        <v/>
      </c>
    </row>
    <row r="436" spans="9:9" x14ac:dyDescent="0.25">
      <c r="I436" s="10" t="str">
        <f t="shared" si="6"/>
        <v/>
      </c>
    </row>
    <row r="437" spans="9:9" x14ac:dyDescent="0.25">
      <c r="I437" s="10" t="str">
        <f t="shared" si="6"/>
        <v/>
      </c>
    </row>
    <row r="438" spans="9:9" x14ac:dyDescent="0.25">
      <c r="I438" s="10" t="str">
        <f t="shared" si="6"/>
        <v/>
      </c>
    </row>
    <row r="439" spans="9:9" x14ac:dyDescent="0.25">
      <c r="I439" s="10" t="str">
        <f t="shared" si="6"/>
        <v/>
      </c>
    </row>
    <row r="440" spans="9:9" x14ac:dyDescent="0.25">
      <c r="I440" s="10" t="str">
        <f t="shared" si="6"/>
        <v/>
      </c>
    </row>
    <row r="441" spans="9:9" x14ac:dyDescent="0.25">
      <c r="I441" s="10" t="str">
        <f t="shared" si="6"/>
        <v/>
      </c>
    </row>
    <row r="442" spans="9:9" x14ac:dyDescent="0.25">
      <c r="I442" s="10" t="str">
        <f t="shared" si="6"/>
        <v/>
      </c>
    </row>
    <row r="443" spans="9:9" x14ac:dyDescent="0.25">
      <c r="I443" s="10" t="str">
        <f t="shared" si="6"/>
        <v/>
      </c>
    </row>
    <row r="444" spans="9:9" x14ac:dyDescent="0.25">
      <c r="I444" s="10" t="str">
        <f t="shared" si="6"/>
        <v/>
      </c>
    </row>
    <row r="445" spans="9:9" x14ac:dyDescent="0.25">
      <c r="I445" s="10" t="str">
        <f t="shared" si="6"/>
        <v/>
      </c>
    </row>
    <row r="446" spans="9:9" x14ac:dyDescent="0.25">
      <c r="I446" s="10" t="str">
        <f t="shared" si="6"/>
        <v/>
      </c>
    </row>
    <row r="447" spans="9:9" x14ac:dyDescent="0.25">
      <c r="I447" s="10" t="str">
        <f t="shared" si="6"/>
        <v/>
      </c>
    </row>
    <row r="448" spans="9:9" x14ac:dyDescent="0.25">
      <c r="I448" s="10" t="str">
        <f t="shared" si="6"/>
        <v/>
      </c>
    </row>
    <row r="449" spans="9:9" x14ac:dyDescent="0.25">
      <c r="I449" s="10" t="str">
        <f t="shared" si="6"/>
        <v/>
      </c>
    </row>
    <row r="450" spans="9:9" x14ac:dyDescent="0.25">
      <c r="I450" s="10" t="str">
        <f t="shared" si="6"/>
        <v/>
      </c>
    </row>
    <row r="451" spans="9:9" x14ac:dyDescent="0.25">
      <c r="I451" s="10" t="str">
        <f t="shared" ref="I451:I514" si="7">IFERROR(DATEVALUE(D451),"")</f>
        <v/>
      </c>
    </row>
    <row r="452" spans="9:9" x14ac:dyDescent="0.25">
      <c r="I452" s="10" t="str">
        <f t="shared" si="7"/>
        <v/>
      </c>
    </row>
    <row r="453" spans="9:9" x14ac:dyDescent="0.25">
      <c r="I453" s="10" t="str">
        <f t="shared" si="7"/>
        <v/>
      </c>
    </row>
    <row r="454" spans="9:9" x14ac:dyDescent="0.25">
      <c r="I454" s="10" t="str">
        <f t="shared" si="7"/>
        <v/>
      </c>
    </row>
    <row r="455" spans="9:9" x14ac:dyDescent="0.25">
      <c r="I455" s="10" t="str">
        <f t="shared" si="7"/>
        <v/>
      </c>
    </row>
    <row r="456" spans="9:9" x14ac:dyDescent="0.25">
      <c r="I456" s="10" t="str">
        <f t="shared" si="7"/>
        <v/>
      </c>
    </row>
    <row r="457" spans="9:9" x14ac:dyDescent="0.25">
      <c r="I457" s="10" t="str">
        <f t="shared" si="7"/>
        <v/>
      </c>
    </row>
    <row r="458" spans="9:9" x14ac:dyDescent="0.25">
      <c r="I458" s="10" t="str">
        <f t="shared" si="7"/>
        <v/>
      </c>
    </row>
    <row r="459" spans="9:9" x14ac:dyDescent="0.25">
      <c r="I459" s="10" t="str">
        <f t="shared" si="7"/>
        <v/>
      </c>
    </row>
    <row r="460" spans="9:9" x14ac:dyDescent="0.25">
      <c r="I460" s="10" t="str">
        <f t="shared" si="7"/>
        <v/>
      </c>
    </row>
    <row r="461" spans="9:9" x14ac:dyDescent="0.25">
      <c r="I461" s="10" t="str">
        <f t="shared" si="7"/>
        <v/>
      </c>
    </row>
    <row r="462" spans="9:9" x14ac:dyDescent="0.25">
      <c r="I462" s="10" t="str">
        <f t="shared" si="7"/>
        <v/>
      </c>
    </row>
    <row r="463" spans="9:9" x14ac:dyDescent="0.25">
      <c r="I463" s="10" t="str">
        <f t="shared" si="7"/>
        <v/>
      </c>
    </row>
    <row r="464" spans="9:9" x14ac:dyDescent="0.25">
      <c r="I464" s="10" t="str">
        <f t="shared" si="7"/>
        <v/>
      </c>
    </row>
    <row r="465" spans="9:9" x14ac:dyDescent="0.25">
      <c r="I465" s="10" t="str">
        <f t="shared" si="7"/>
        <v/>
      </c>
    </row>
    <row r="466" spans="9:9" x14ac:dyDescent="0.25">
      <c r="I466" s="10" t="str">
        <f t="shared" si="7"/>
        <v/>
      </c>
    </row>
    <row r="467" spans="9:9" x14ac:dyDescent="0.25">
      <c r="I467" s="10" t="str">
        <f t="shared" si="7"/>
        <v/>
      </c>
    </row>
    <row r="468" spans="9:9" x14ac:dyDescent="0.25">
      <c r="I468" s="10" t="str">
        <f t="shared" si="7"/>
        <v/>
      </c>
    </row>
    <row r="469" spans="9:9" x14ac:dyDescent="0.25">
      <c r="I469" s="10" t="str">
        <f t="shared" si="7"/>
        <v/>
      </c>
    </row>
    <row r="470" spans="9:9" x14ac:dyDescent="0.25">
      <c r="I470" s="10" t="str">
        <f t="shared" si="7"/>
        <v/>
      </c>
    </row>
    <row r="471" spans="9:9" x14ac:dyDescent="0.25">
      <c r="I471" s="10" t="str">
        <f t="shared" si="7"/>
        <v/>
      </c>
    </row>
    <row r="472" spans="9:9" x14ac:dyDescent="0.25">
      <c r="I472" s="10" t="str">
        <f t="shared" si="7"/>
        <v/>
      </c>
    </row>
    <row r="473" spans="9:9" x14ac:dyDescent="0.25">
      <c r="I473" s="10" t="str">
        <f t="shared" si="7"/>
        <v/>
      </c>
    </row>
    <row r="474" spans="9:9" x14ac:dyDescent="0.25">
      <c r="I474" s="10" t="str">
        <f t="shared" si="7"/>
        <v/>
      </c>
    </row>
    <row r="475" spans="9:9" x14ac:dyDescent="0.25">
      <c r="I475" s="10" t="str">
        <f t="shared" si="7"/>
        <v/>
      </c>
    </row>
    <row r="476" spans="9:9" x14ac:dyDescent="0.25">
      <c r="I476" s="10" t="str">
        <f t="shared" si="7"/>
        <v/>
      </c>
    </row>
    <row r="477" spans="9:9" x14ac:dyDescent="0.25">
      <c r="I477" s="10" t="str">
        <f t="shared" si="7"/>
        <v/>
      </c>
    </row>
    <row r="478" spans="9:9" x14ac:dyDescent="0.25">
      <c r="I478" s="10" t="str">
        <f t="shared" si="7"/>
        <v/>
      </c>
    </row>
    <row r="479" spans="9:9" x14ac:dyDescent="0.25">
      <c r="I479" s="10" t="str">
        <f t="shared" si="7"/>
        <v/>
      </c>
    </row>
    <row r="480" spans="9:9" x14ac:dyDescent="0.25">
      <c r="I480" s="10" t="str">
        <f t="shared" si="7"/>
        <v/>
      </c>
    </row>
    <row r="481" spans="9:9" x14ac:dyDescent="0.25">
      <c r="I481" s="10" t="str">
        <f t="shared" si="7"/>
        <v/>
      </c>
    </row>
    <row r="482" spans="9:9" x14ac:dyDescent="0.25">
      <c r="I482" s="10" t="str">
        <f t="shared" si="7"/>
        <v/>
      </c>
    </row>
    <row r="483" spans="9:9" x14ac:dyDescent="0.25">
      <c r="I483" s="10" t="str">
        <f t="shared" si="7"/>
        <v/>
      </c>
    </row>
    <row r="484" spans="9:9" x14ac:dyDescent="0.25">
      <c r="I484" s="10" t="str">
        <f t="shared" si="7"/>
        <v/>
      </c>
    </row>
    <row r="485" spans="9:9" x14ac:dyDescent="0.25">
      <c r="I485" s="10" t="str">
        <f t="shared" si="7"/>
        <v/>
      </c>
    </row>
    <row r="486" spans="9:9" x14ac:dyDescent="0.25">
      <c r="I486" s="10" t="str">
        <f t="shared" si="7"/>
        <v/>
      </c>
    </row>
    <row r="487" spans="9:9" x14ac:dyDescent="0.25">
      <c r="I487" s="10" t="str">
        <f t="shared" si="7"/>
        <v/>
      </c>
    </row>
    <row r="488" spans="9:9" x14ac:dyDescent="0.25">
      <c r="I488" s="10" t="str">
        <f t="shared" si="7"/>
        <v/>
      </c>
    </row>
    <row r="489" spans="9:9" x14ac:dyDescent="0.25">
      <c r="I489" s="10" t="str">
        <f t="shared" si="7"/>
        <v/>
      </c>
    </row>
    <row r="490" spans="9:9" x14ac:dyDescent="0.25">
      <c r="I490" s="10" t="str">
        <f t="shared" si="7"/>
        <v/>
      </c>
    </row>
    <row r="491" spans="9:9" x14ac:dyDescent="0.25">
      <c r="I491" s="10" t="str">
        <f t="shared" si="7"/>
        <v/>
      </c>
    </row>
    <row r="492" spans="9:9" x14ac:dyDescent="0.25">
      <c r="I492" s="10" t="str">
        <f t="shared" si="7"/>
        <v/>
      </c>
    </row>
    <row r="493" spans="9:9" x14ac:dyDescent="0.25">
      <c r="I493" s="10" t="str">
        <f t="shared" si="7"/>
        <v/>
      </c>
    </row>
    <row r="494" spans="9:9" x14ac:dyDescent="0.25">
      <c r="I494" s="10" t="str">
        <f t="shared" si="7"/>
        <v/>
      </c>
    </row>
    <row r="495" spans="9:9" x14ac:dyDescent="0.25">
      <c r="I495" s="10" t="str">
        <f t="shared" si="7"/>
        <v/>
      </c>
    </row>
    <row r="496" spans="9:9" x14ac:dyDescent="0.25">
      <c r="I496" s="10" t="str">
        <f t="shared" si="7"/>
        <v/>
      </c>
    </row>
    <row r="497" spans="9:9" x14ac:dyDescent="0.25">
      <c r="I497" s="10" t="str">
        <f t="shared" si="7"/>
        <v/>
      </c>
    </row>
    <row r="498" spans="9:9" x14ac:dyDescent="0.25">
      <c r="I498" s="10" t="str">
        <f t="shared" si="7"/>
        <v/>
      </c>
    </row>
    <row r="499" spans="9:9" x14ac:dyDescent="0.25">
      <c r="I499" s="10" t="str">
        <f t="shared" si="7"/>
        <v/>
      </c>
    </row>
    <row r="500" spans="9:9" x14ac:dyDescent="0.25">
      <c r="I500" s="10" t="str">
        <f t="shared" si="7"/>
        <v/>
      </c>
    </row>
    <row r="501" spans="9:9" x14ac:dyDescent="0.25">
      <c r="I501" s="10" t="str">
        <f t="shared" si="7"/>
        <v/>
      </c>
    </row>
    <row r="502" spans="9:9" x14ac:dyDescent="0.25">
      <c r="I502" s="10" t="str">
        <f t="shared" si="7"/>
        <v/>
      </c>
    </row>
    <row r="503" spans="9:9" x14ac:dyDescent="0.25">
      <c r="I503" s="10" t="str">
        <f t="shared" si="7"/>
        <v/>
      </c>
    </row>
    <row r="504" spans="9:9" x14ac:dyDescent="0.25">
      <c r="I504" s="10" t="str">
        <f t="shared" si="7"/>
        <v/>
      </c>
    </row>
    <row r="505" spans="9:9" x14ac:dyDescent="0.25">
      <c r="I505" s="10" t="str">
        <f t="shared" si="7"/>
        <v/>
      </c>
    </row>
    <row r="506" spans="9:9" x14ac:dyDescent="0.25">
      <c r="I506" s="10" t="str">
        <f t="shared" si="7"/>
        <v/>
      </c>
    </row>
    <row r="507" spans="9:9" x14ac:dyDescent="0.25">
      <c r="I507" s="10" t="str">
        <f t="shared" si="7"/>
        <v/>
      </c>
    </row>
    <row r="508" spans="9:9" x14ac:dyDescent="0.25">
      <c r="I508" s="10" t="str">
        <f t="shared" si="7"/>
        <v/>
      </c>
    </row>
    <row r="509" spans="9:9" x14ac:dyDescent="0.25">
      <c r="I509" s="10" t="str">
        <f t="shared" si="7"/>
        <v/>
      </c>
    </row>
    <row r="510" spans="9:9" x14ac:dyDescent="0.25">
      <c r="I510" s="10" t="str">
        <f t="shared" si="7"/>
        <v/>
      </c>
    </row>
    <row r="511" spans="9:9" x14ac:dyDescent="0.25">
      <c r="I511" s="10" t="str">
        <f t="shared" si="7"/>
        <v/>
      </c>
    </row>
    <row r="512" spans="9:9" x14ac:dyDescent="0.25">
      <c r="I512" s="10" t="str">
        <f t="shared" si="7"/>
        <v/>
      </c>
    </row>
    <row r="513" spans="9:9" x14ac:dyDescent="0.25">
      <c r="I513" s="10" t="str">
        <f t="shared" si="7"/>
        <v/>
      </c>
    </row>
    <row r="514" spans="9:9" x14ac:dyDescent="0.25">
      <c r="I514" s="10" t="str">
        <f t="shared" si="7"/>
        <v/>
      </c>
    </row>
    <row r="515" spans="9:9" x14ac:dyDescent="0.25">
      <c r="I515" s="10" t="str">
        <f t="shared" ref="I515:I578" si="8">IFERROR(DATEVALUE(D515),"")</f>
        <v/>
      </c>
    </row>
    <row r="516" spans="9:9" x14ac:dyDescent="0.25">
      <c r="I516" s="10" t="str">
        <f t="shared" si="8"/>
        <v/>
      </c>
    </row>
    <row r="517" spans="9:9" x14ac:dyDescent="0.25">
      <c r="I517" s="10" t="str">
        <f t="shared" si="8"/>
        <v/>
      </c>
    </row>
    <row r="518" spans="9:9" x14ac:dyDescent="0.25">
      <c r="I518" s="10" t="str">
        <f t="shared" si="8"/>
        <v/>
      </c>
    </row>
    <row r="519" spans="9:9" x14ac:dyDescent="0.25">
      <c r="I519" s="10" t="str">
        <f t="shared" si="8"/>
        <v/>
      </c>
    </row>
    <row r="520" spans="9:9" x14ac:dyDescent="0.25">
      <c r="I520" s="10" t="str">
        <f t="shared" si="8"/>
        <v/>
      </c>
    </row>
    <row r="521" spans="9:9" x14ac:dyDescent="0.25">
      <c r="I521" s="10" t="str">
        <f t="shared" si="8"/>
        <v/>
      </c>
    </row>
    <row r="522" spans="9:9" x14ac:dyDescent="0.25">
      <c r="I522" s="10" t="str">
        <f t="shared" si="8"/>
        <v/>
      </c>
    </row>
    <row r="523" spans="9:9" x14ac:dyDescent="0.25">
      <c r="I523" s="10" t="str">
        <f t="shared" si="8"/>
        <v/>
      </c>
    </row>
    <row r="524" spans="9:9" x14ac:dyDescent="0.25">
      <c r="I524" s="10" t="str">
        <f t="shared" si="8"/>
        <v/>
      </c>
    </row>
    <row r="525" spans="9:9" x14ac:dyDescent="0.25">
      <c r="I525" s="10" t="str">
        <f t="shared" si="8"/>
        <v/>
      </c>
    </row>
    <row r="526" spans="9:9" x14ac:dyDescent="0.25">
      <c r="I526" s="10" t="str">
        <f t="shared" si="8"/>
        <v/>
      </c>
    </row>
    <row r="527" spans="9:9" x14ac:dyDescent="0.25">
      <c r="I527" s="10" t="str">
        <f t="shared" si="8"/>
        <v/>
      </c>
    </row>
    <row r="528" spans="9:9" x14ac:dyDescent="0.25">
      <c r="I528" s="10" t="str">
        <f t="shared" si="8"/>
        <v/>
      </c>
    </row>
    <row r="529" spans="9:9" x14ac:dyDescent="0.25">
      <c r="I529" s="10" t="str">
        <f t="shared" si="8"/>
        <v/>
      </c>
    </row>
    <row r="530" spans="9:9" x14ac:dyDescent="0.25">
      <c r="I530" s="10" t="str">
        <f t="shared" si="8"/>
        <v/>
      </c>
    </row>
    <row r="531" spans="9:9" x14ac:dyDescent="0.25">
      <c r="I531" s="10" t="str">
        <f t="shared" si="8"/>
        <v/>
      </c>
    </row>
    <row r="532" spans="9:9" x14ac:dyDescent="0.25">
      <c r="I532" s="10" t="str">
        <f t="shared" si="8"/>
        <v/>
      </c>
    </row>
    <row r="533" spans="9:9" x14ac:dyDescent="0.25">
      <c r="I533" s="10" t="str">
        <f t="shared" si="8"/>
        <v/>
      </c>
    </row>
    <row r="534" spans="9:9" x14ac:dyDescent="0.25">
      <c r="I534" s="10" t="str">
        <f t="shared" si="8"/>
        <v/>
      </c>
    </row>
    <row r="535" spans="9:9" x14ac:dyDescent="0.25">
      <c r="I535" s="10" t="str">
        <f t="shared" si="8"/>
        <v/>
      </c>
    </row>
    <row r="536" spans="9:9" x14ac:dyDescent="0.25">
      <c r="I536" s="10" t="str">
        <f t="shared" si="8"/>
        <v/>
      </c>
    </row>
    <row r="537" spans="9:9" x14ac:dyDescent="0.25">
      <c r="I537" s="10" t="str">
        <f t="shared" si="8"/>
        <v/>
      </c>
    </row>
    <row r="538" spans="9:9" x14ac:dyDescent="0.25">
      <c r="I538" s="10" t="str">
        <f t="shared" si="8"/>
        <v/>
      </c>
    </row>
    <row r="539" spans="9:9" x14ac:dyDescent="0.25">
      <c r="I539" s="10" t="str">
        <f t="shared" si="8"/>
        <v/>
      </c>
    </row>
    <row r="540" spans="9:9" x14ac:dyDescent="0.25">
      <c r="I540" s="10" t="str">
        <f t="shared" si="8"/>
        <v/>
      </c>
    </row>
    <row r="541" spans="9:9" x14ac:dyDescent="0.25">
      <c r="I541" s="10" t="str">
        <f t="shared" si="8"/>
        <v/>
      </c>
    </row>
    <row r="542" spans="9:9" x14ac:dyDescent="0.25">
      <c r="I542" s="10" t="str">
        <f t="shared" si="8"/>
        <v/>
      </c>
    </row>
    <row r="543" spans="9:9" x14ac:dyDescent="0.25">
      <c r="I543" s="10" t="str">
        <f t="shared" si="8"/>
        <v/>
      </c>
    </row>
    <row r="544" spans="9:9" x14ac:dyDescent="0.25">
      <c r="I544" s="10" t="str">
        <f t="shared" si="8"/>
        <v/>
      </c>
    </row>
    <row r="545" spans="9:9" x14ac:dyDescent="0.25">
      <c r="I545" s="10" t="str">
        <f t="shared" si="8"/>
        <v/>
      </c>
    </row>
    <row r="546" spans="9:9" x14ac:dyDescent="0.25">
      <c r="I546" s="10" t="str">
        <f t="shared" si="8"/>
        <v/>
      </c>
    </row>
    <row r="547" spans="9:9" x14ac:dyDescent="0.25">
      <c r="I547" s="10" t="str">
        <f t="shared" si="8"/>
        <v/>
      </c>
    </row>
    <row r="548" spans="9:9" x14ac:dyDescent="0.25">
      <c r="I548" s="10" t="str">
        <f t="shared" si="8"/>
        <v/>
      </c>
    </row>
    <row r="549" spans="9:9" x14ac:dyDescent="0.25">
      <c r="I549" s="10" t="str">
        <f t="shared" si="8"/>
        <v/>
      </c>
    </row>
    <row r="550" spans="9:9" x14ac:dyDescent="0.25">
      <c r="I550" s="10" t="str">
        <f t="shared" si="8"/>
        <v/>
      </c>
    </row>
    <row r="551" spans="9:9" x14ac:dyDescent="0.25">
      <c r="I551" s="10" t="str">
        <f t="shared" si="8"/>
        <v/>
      </c>
    </row>
    <row r="552" spans="9:9" x14ac:dyDescent="0.25">
      <c r="I552" s="10" t="str">
        <f t="shared" si="8"/>
        <v/>
      </c>
    </row>
    <row r="553" spans="9:9" x14ac:dyDescent="0.25">
      <c r="I553" s="10" t="str">
        <f t="shared" si="8"/>
        <v/>
      </c>
    </row>
    <row r="554" spans="9:9" x14ac:dyDescent="0.25">
      <c r="I554" s="10" t="str">
        <f t="shared" si="8"/>
        <v/>
      </c>
    </row>
    <row r="555" spans="9:9" x14ac:dyDescent="0.25">
      <c r="I555" s="10" t="str">
        <f t="shared" si="8"/>
        <v/>
      </c>
    </row>
    <row r="556" spans="9:9" x14ac:dyDescent="0.25">
      <c r="I556" s="10" t="str">
        <f t="shared" si="8"/>
        <v/>
      </c>
    </row>
    <row r="557" spans="9:9" x14ac:dyDescent="0.25">
      <c r="I557" s="10" t="str">
        <f t="shared" si="8"/>
        <v/>
      </c>
    </row>
    <row r="558" spans="9:9" x14ac:dyDescent="0.25">
      <c r="I558" s="10" t="str">
        <f t="shared" si="8"/>
        <v/>
      </c>
    </row>
    <row r="559" spans="9:9" x14ac:dyDescent="0.25">
      <c r="I559" s="10" t="str">
        <f t="shared" si="8"/>
        <v/>
      </c>
    </row>
    <row r="560" spans="9:9" x14ac:dyDescent="0.25">
      <c r="I560" s="10" t="str">
        <f t="shared" si="8"/>
        <v/>
      </c>
    </row>
    <row r="561" spans="9:9" x14ac:dyDescent="0.25">
      <c r="I561" s="10" t="str">
        <f t="shared" si="8"/>
        <v/>
      </c>
    </row>
    <row r="562" spans="9:9" x14ac:dyDescent="0.25">
      <c r="I562" s="10" t="str">
        <f t="shared" si="8"/>
        <v/>
      </c>
    </row>
    <row r="563" spans="9:9" x14ac:dyDescent="0.25">
      <c r="I563" s="10" t="str">
        <f t="shared" si="8"/>
        <v/>
      </c>
    </row>
    <row r="564" spans="9:9" x14ac:dyDescent="0.25">
      <c r="I564" s="10" t="str">
        <f t="shared" si="8"/>
        <v/>
      </c>
    </row>
    <row r="565" spans="9:9" x14ac:dyDescent="0.25">
      <c r="I565" s="10" t="str">
        <f t="shared" si="8"/>
        <v/>
      </c>
    </row>
    <row r="566" spans="9:9" x14ac:dyDescent="0.25">
      <c r="I566" s="10" t="str">
        <f t="shared" si="8"/>
        <v/>
      </c>
    </row>
    <row r="567" spans="9:9" x14ac:dyDescent="0.25">
      <c r="I567" s="10" t="str">
        <f t="shared" si="8"/>
        <v/>
      </c>
    </row>
    <row r="568" spans="9:9" x14ac:dyDescent="0.25">
      <c r="I568" s="10" t="str">
        <f t="shared" si="8"/>
        <v/>
      </c>
    </row>
    <row r="569" spans="9:9" x14ac:dyDescent="0.25">
      <c r="I569" s="10" t="str">
        <f t="shared" si="8"/>
        <v/>
      </c>
    </row>
    <row r="570" spans="9:9" x14ac:dyDescent="0.25">
      <c r="I570" s="10" t="str">
        <f t="shared" si="8"/>
        <v/>
      </c>
    </row>
    <row r="571" spans="9:9" x14ac:dyDescent="0.25">
      <c r="I571" s="10" t="str">
        <f t="shared" si="8"/>
        <v/>
      </c>
    </row>
    <row r="572" spans="9:9" x14ac:dyDescent="0.25">
      <c r="I572" s="10" t="str">
        <f t="shared" si="8"/>
        <v/>
      </c>
    </row>
    <row r="573" spans="9:9" x14ac:dyDescent="0.25">
      <c r="I573" s="10" t="str">
        <f t="shared" si="8"/>
        <v/>
      </c>
    </row>
    <row r="574" spans="9:9" x14ac:dyDescent="0.25">
      <c r="I574" s="10" t="str">
        <f t="shared" si="8"/>
        <v/>
      </c>
    </row>
    <row r="575" spans="9:9" x14ac:dyDescent="0.25">
      <c r="I575" s="10" t="str">
        <f t="shared" si="8"/>
        <v/>
      </c>
    </row>
    <row r="576" spans="9:9" x14ac:dyDescent="0.25">
      <c r="I576" s="10" t="str">
        <f t="shared" si="8"/>
        <v/>
      </c>
    </row>
    <row r="577" spans="9:9" x14ac:dyDescent="0.25">
      <c r="I577" s="10" t="str">
        <f t="shared" si="8"/>
        <v/>
      </c>
    </row>
    <row r="578" spans="9:9" x14ac:dyDescent="0.25">
      <c r="I578" s="10" t="str">
        <f t="shared" si="8"/>
        <v/>
      </c>
    </row>
    <row r="579" spans="9:9" x14ac:dyDescent="0.25">
      <c r="I579" s="10" t="str">
        <f t="shared" ref="I579:I642" si="9">IFERROR(DATEVALUE(D579),"")</f>
        <v/>
      </c>
    </row>
    <row r="580" spans="9:9" x14ac:dyDescent="0.25">
      <c r="I580" s="10" t="str">
        <f t="shared" si="9"/>
        <v/>
      </c>
    </row>
    <row r="581" spans="9:9" x14ac:dyDescent="0.25">
      <c r="I581" s="10" t="str">
        <f t="shared" si="9"/>
        <v/>
      </c>
    </row>
    <row r="582" spans="9:9" x14ac:dyDescent="0.25">
      <c r="I582" s="10" t="str">
        <f t="shared" si="9"/>
        <v/>
      </c>
    </row>
    <row r="583" spans="9:9" x14ac:dyDescent="0.25">
      <c r="I583" s="10" t="str">
        <f t="shared" si="9"/>
        <v/>
      </c>
    </row>
    <row r="584" spans="9:9" x14ac:dyDescent="0.25">
      <c r="I584" s="10" t="str">
        <f t="shared" si="9"/>
        <v/>
      </c>
    </row>
    <row r="585" spans="9:9" x14ac:dyDescent="0.25">
      <c r="I585" s="10" t="str">
        <f t="shared" si="9"/>
        <v/>
      </c>
    </row>
    <row r="586" spans="9:9" x14ac:dyDescent="0.25">
      <c r="I586" s="10" t="str">
        <f t="shared" si="9"/>
        <v/>
      </c>
    </row>
    <row r="587" spans="9:9" x14ac:dyDescent="0.25">
      <c r="I587" s="10" t="str">
        <f t="shared" si="9"/>
        <v/>
      </c>
    </row>
    <row r="588" spans="9:9" x14ac:dyDescent="0.25">
      <c r="I588" s="10" t="str">
        <f t="shared" si="9"/>
        <v/>
      </c>
    </row>
    <row r="589" spans="9:9" x14ac:dyDescent="0.25">
      <c r="I589" s="10" t="str">
        <f t="shared" si="9"/>
        <v/>
      </c>
    </row>
    <row r="590" spans="9:9" x14ac:dyDescent="0.25">
      <c r="I590" s="10" t="str">
        <f t="shared" si="9"/>
        <v/>
      </c>
    </row>
    <row r="591" spans="9:9" x14ac:dyDescent="0.25">
      <c r="I591" s="10" t="str">
        <f t="shared" si="9"/>
        <v/>
      </c>
    </row>
    <row r="592" spans="9:9" x14ac:dyDescent="0.25">
      <c r="I592" s="10" t="str">
        <f t="shared" si="9"/>
        <v/>
      </c>
    </row>
    <row r="593" spans="9:9" x14ac:dyDescent="0.25">
      <c r="I593" s="10" t="str">
        <f t="shared" si="9"/>
        <v/>
      </c>
    </row>
    <row r="594" spans="9:9" x14ac:dyDescent="0.25">
      <c r="I594" s="10" t="str">
        <f t="shared" si="9"/>
        <v/>
      </c>
    </row>
    <row r="595" spans="9:9" x14ac:dyDescent="0.25">
      <c r="I595" s="10" t="str">
        <f t="shared" si="9"/>
        <v/>
      </c>
    </row>
    <row r="596" spans="9:9" x14ac:dyDescent="0.25">
      <c r="I596" s="10" t="str">
        <f t="shared" si="9"/>
        <v/>
      </c>
    </row>
    <row r="597" spans="9:9" x14ac:dyDescent="0.25">
      <c r="I597" s="10" t="str">
        <f t="shared" si="9"/>
        <v/>
      </c>
    </row>
    <row r="598" spans="9:9" x14ac:dyDescent="0.25">
      <c r="I598" s="10" t="str">
        <f t="shared" si="9"/>
        <v/>
      </c>
    </row>
    <row r="599" spans="9:9" x14ac:dyDescent="0.25">
      <c r="I599" s="10" t="str">
        <f t="shared" si="9"/>
        <v/>
      </c>
    </row>
    <row r="600" spans="9:9" x14ac:dyDescent="0.25">
      <c r="I600" s="10" t="str">
        <f t="shared" si="9"/>
        <v/>
      </c>
    </row>
    <row r="601" spans="9:9" x14ac:dyDescent="0.25">
      <c r="I601" s="10" t="str">
        <f t="shared" si="9"/>
        <v/>
      </c>
    </row>
    <row r="602" spans="9:9" x14ac:dyDescent="0.25">
      <c r="I602" s="10" t="str">
        <f t="shared" si="9"/>
        <v/>
      </c>
    </row>
    <row r="603" spans="9:9" x14ac:dyDescent="0.25">
      <c r="I603" s="10" t="str">
        <f t="shared" si="9"/>
        <v/>
      </c>
    </row>
    <row r="604" spans="9:9" x14ac:dyDescent="0.25">
      <c r="I604" s="10" t="str">
        <f t="shared" si="9"/>
        <v/>
      </c>
    </row>
    <row r="605" spans="9:9" x14ac:dyDescent="0.25">
      <c r="I605" s="10" t="str">
        <f t="shared" si="9"/>
        <v/>
      </c>
    </row>
    <row r="606" spans="9:9" x14ac:dyDescent="0.25">
      <c r="I606" s="10" t="str">
        <f t="shared" si="9"/>
        <v/>
      </c>
    </row>
    <row r="607" spans="9:9" x14ac:dyDescent="0.25">
      <c r="I607" s="10" t="str">
        <f t="shared" si="9"/>
        <v/>
      </c>
    </row>
    <row r="608" spans="9:9" x14ac:dyDescent="0.25">
      <c r="I608" s="10" t="str">
        <f t="shared" si="9"/>
        <v/>
      </c>
    </row>
    <row r="609" spans="9:9" x14ac:dyDescent="0.25">
      <c r="I609" s="10" t="str">
        <f t="shared" si="9"/>
        <v/>
      </c>
    </row>
    <row r="610" spans="9:9" x14ac:dyDescent="0.25">
      <c r="I610" s="10" t="str">
        <f t="shared" si="9"/>
        <v/>
      </c>
    </row>
    <row r="611" spans="9:9" x14ac:dyDescent="0.25">
      <c r="I611" s="10" t="str">
        <f t="shared" si="9"/>
        <v/>
      </c>
    </row>
    <row r="612" spans="9:9" x14ac:dyDescent="0.25">
      <c r="I612" s="10" t="str">
        <f t="shared" si="9"/>
        <v/>
      </c>
    </row>
    <row r="613" spans="9:9" x14ac:dyDescent="0.25">
      <c r="I613" s="10" t="str">
        <f t="shared" si="9"/>
        <v/>
      </c>
    </row>
    <row r="614" spans="9:9" x14ac:dyDescent="0.25">
      <c r="I614" s="10" t="str">
        <f t="shared" si="9"/>
        <v/>
      </c>
    </row>
    <row r="615" spans="9:9" x14ac:dyDescent="0.25">
      <c r="I615" s="10" t="str">
        <f t="shared" si="9"/>
        <v/>
      </c>
    </row>
    <row r="616" spans="9:9" x14ac:dyDescent="0.25">
      <c r="I616" s="10" t="str">
        <f t="shared" si="9"/>
        <v/>
      </c>
    </row>
    <row r="617" spans="9:9" x14ac:dyDescent="0.25">
      <c r="I617" s="10" t="str">
        <f t="shared" si="9"/>
        <v/>
      </c>
    </row>
    <row r="618" spans="9:9" x14ac:dyDescent="0.25">
      <c r="I618" s="10" t="str">
        <f t="shared" si="9"/>
        <v/>
      </c>
    </row>
    <row r="619" spans="9:9" x14ac:dyDescent="0.25">
      <c r="I619" s="10" t="str">
        <f t="shared" si="9"/>
        <v/>
      </c>
    </row>
    <row r="620" spans="9:9" x14ac:dyDescent="0.25">
      <c r="I620" s="10" t="str">
        <f t="shared" si="9"/>
        <v/>
      </c>
    </row>
    <row r="621" spans="9:9" x14ac:dyDescent="0.25">
      <c r="I621" s="10" t="str">
        <f t="shared" si="9"/>
        <v/>
      </c>
    </row>
    <row r="622" spans="9:9" x14ac:dyDescent="0.25">
      <c r="I622" s="10" t="str">
        <f t="shared" si="9"/>
        <v/>
      </c>
    </row>
    <row r="623" spans="9:9" x14ac:dyDescent="0.25">
      <c r="I623" s="10" t="str">
        <f t="shared" si="9"/>
        <v/>
      </c>
    </row>
    <row r="624" spans="9:9" x14ac:dyDescent="0.25">
      <c r="I624" s="10" t="str">
        <f t="shared" si="9"/>
        <v/>
      </c>
    </row>
    <row r="625" spans="9:9" x14ac:dyDescent="0.25">
      <c r="I625" s="10" t="str">
        <f t="shared" si="9"/>
        <v/>
      </c>
    </row>
    <row r="626" spans="9:9" x14ac:dyDescent="0.25">
      <c r="I626" s="10" t="str">
        <f t="shared" si="9"/>
        <v/>
      </c>
    </row>
    <row r="627" spans="9:9" x14ac:dyDescent="0.25">
      <c r="I627" s="10" t="str">
        <f t="shared" si="9"/>
        <v/>
      </c>
    </row>
    <row r="628" spans="9:9" x14ac:dyDescent="0.25">
      <c r="I628" s="10" t="str">
        <f t="shared" si="9"/>
        <v/>
      </c>
    </row>
    <row r="629" spans="9:9" x14ac:dyDescent="0.25">
      <c r="I629" s="10" t="str">
        <f t="shared" si="9"/>
        <v/>
      </c>
    </row>
    <row r="630" spans="9:9" x14ac:dyDescent="0.25">
      <c r="I630" s="10" t="str">
        <f t="shared" si="9"/>
        <v/>
      </c>
    </row>
    <row r="631" spans="9:9" x14ac:dyDescent="0.25">
      <c r="I631" s="10" t="str">
        <f t="shared" si="9"/>
        <v/>
      </c>
    </row>
    <row r="632" spans="9:9" x14ac:dyDescent="0.25">
      <c r="I632" s="10" t="str">
        <f t="shared" si="9"/>
        <v/>
      </c>
    </row>
    <row r="633" spans="9:9" x14ac:dyDescent="0.25">
      <c r="I633" s="10" t="str">
        <f t="shared" si="9"/>
        <v/>
      </c>
    </row>
    <row r="634" spans="9:9" x14ac:dyDescent="0.25">
      <c r="I634" s="10" t="str">
        <f t="shared" si="9"/>
        <v/>
      </c>
    </row>
    <row r="635" spans="9:9" x14ac:dyDescent="0.25">
      <c r="I635" s="10" t="str">
        <f t="shared" si="9"/>
        <v/>
      </c>
    </row>
    <row r="636" spans="9:9" x14ac:dyDescent="0.25">
      <c r="I636" s="10" t="str">
        <f t="shared" si="9"/>
        <v/>
      </c>
    </row>
    <row r="637" spans="9:9" x14ac:dyDescent="0.25">
      <c r="I637" s="10" t="str">
        <f t="shared" si="9"/>
        <v/>
      </c>
    </row>
    <row r="638" spans="9:9" x14ac:dyDescent="0.25">
      <c r="I638" s="10" t="str">
        <f t="shared" si="9"/>
        <v/>
      </c>
    </row>
    <row r="639" spans="9:9" x14ac:dyDescent="0.25">
      <c r="I639" s="10" t="str">
        <f t="shared" si="9"/>
        <v/>
      </c>
    </row>
    <row r="640" spans="9:9" x14ac:dyDescent="0.25">
      <c r="I640" s="10" t="str">
        <f t="shared" si="9"/>
        <v/>
      </c>
    </row>
    <row r="641" spans="9:9" x14ac:dyDescent="0.25">
      <c r="I641" s="10" t="str">
        <f t="shared" si="9"/>
        <v/>
      </c>
    </row>
    <row r="642" spans="9:9" x14ac:dyDescent="0.25">
      <c r="I642" s="10" t="str">
        <f t="shared" si="9"/>
        <v/>
      </c>
    </row>
    <row r="643" spans="9:9" x14ac:dyDescent="0.25">
      <c r="I643" s="10" t="str">
        <f t="shared" ref="I643:I706" si="10">IFERROR(DATEVALUE(D643),"")</f>
        <v/>
      </c>
    </row>
    <row r="644" spans="9:9" x14ac:dyDescent="0.25">
      <c r="I644" s="10" t="str">
        <f t="shared" si="10"/>
        <v/>
      </c>
    </row>
    <row r="645" spans="9:9" x14ac:dyDescent="0.25">
      <c r="I645" s="10" t="str">
        <f t="shared" si="10"/>
        <v/>
      </c>
    </row>
    <row r="646" spans="9:9" x14ac:dyDescent="0.25">
      <c r="I646" s="10" t="str">
        <f t="shared" si="10"/>
        <v/>
      </c>
    </row>
    <row r="647" spans="9:9" x14ac:dyDescent="0.25">
      <c r="I647" s="10" t="str">
        <f t="shared" si="10"/>
        <v/>
      </c>
    </row>
    <row r="648" spans="9:9" x14ac:dyDescent="0.25">
      <c r="I648" s="10" t="str">
        <f t="shared" si="10"/>
        <v/>
      </c>
    </row>
    <row r="649" spans="9:9" x14ac:dyDescent="0.25">
      <c r="I649" s="10" t="str">
        <f t="shared" si="10"/>
        <v/>
      </c>
    </row>
    <row r="650" spans="9:9" x14ac:dyDescent="0.25">
      <c r="I650" s="10" t="str">
        <f t="shared" si="10"/>
        <v/>
      </c>
    </row>
    <row r="651" spans="9:9" x14ac:dyDescent="0.25">
      <c r="I651" s="10" t="str">
        <f t="shared" si="10"/>
        <v/>
      </c>
    </row>
    <row r="652" spans="9:9" x14ac:dyDescent="0.25">
      <c r="I652" s="10" t="str">
        <f t="shared" si="10"/>
        <v/>
      </c>
    </row>
    <row r="653" spans="9:9" x14ac:dyDescent="0.25">
      <c r="I653" s="10" t="str">
        <f t="shared" si="10"/>
        <v/>
      </c>
    </row>
    <row r="654" spans="9:9" x14ac:dyDescent="0.25">
      <c r="I654" s="10" t="str">
        <f t="shared" si="10"/>
        <v/>
      </c>
    </row>
    <row r="655" spans="9:9" x14ac:dyDescent="0.25">
      <c r="I655" s="10" t="str">
        <f t="shared" si="10"/>
        <v/>
      </c>
    </row>
    <row r="656" spans="9:9" x14ac:dyDescent="0.25">
      <c r="I656" s="10" t="str">
        <f t="shared" si="10"/>
        <v/>
      </c>
    </row>
    <row r="657" spans="9:9" x14ac:dyDescent="0.25">
      <c r="I657" s="10" t="str">
        <f t="shared" si="10"/>
        <v/>
      </c>
    </row>
    <row r="658" spans="9:9" x14ac:dyDescent="0.25">
      <c r="I658" s="10" t="str">
        <f t="shared" si="10"/>
        <v/>
      </c>
    </row>
    <row r="659" spans="9:9" x14ac:dyDescent="0.25">
      <c r="I659" s="10" t="str">
        <f t="shared" si="10"/>
        <v/>
      </c>
    </row>
    <row r="660" spans="9:9" x14ac:dyDescent="0.25">
      <c r="I660" s="10" t="str">
        <f t="shared" si="10"/>
        <v/>
      </c>
    </row>
    <row r="661" spans="9:9" x14ac:dyDescent="0.25">
      <c r="I661" s="10" t="str">
        <f t="shared" si="10"/>
        <v/>
      </c>
    </row>
    <row r="662" spans="9:9" x14ac:dyDescent="0.25">
      <c r="I662" s="10" t="str">
        <f t="shared" si="10"/>
        <v/>
      </c>
    </row>
    <row r="663" spans="9:9" x14ac:dyDescent="0.25">
      <c r="I663" s="10" t="str">
        <f t="shared" si="10"/>
        <v/>
      </c>
    </row>
    <row r="664" spans="9:9" x14ac:dyDescent="0.25">
      <c r="I664" s="10" t="str">
        <f t="shared" si="10"/>
        <v/>
      </c>
    </row>
    <row r="665" spans="9:9" x14ac:dyDescent="0.25">
      <c r="I665" s="10" t="str">
        <f t="shared" si="10"/>
        <v/>
      </c>
    </row>
    <row r="666" spans="9:9" x14ac:dyDescent="0.25">
      <c r="I666" s="10" t="str">
        <f t="shared" si="10"/>
        <v/>
      </c>
    </row>
    <row r="667" spans="9:9" x14ac:dyDescent="0.25">
      <c r="I667" s="10" t="str">
        <f t="shared" si="10"/>
        <v/>
      </c>
    </row>
    <row r="668" spans="9:9" x14ac:dyDescent="0.25">
      <c r="I668" s="10" t="str">
        <f t="shared" si="10"/>
        <v/>
      </c>
    </row>
    <row r="669" spans="9:9" x14ac:dyDescent="0.25">
      <c r="I669" s="10" t="str">
        <f t="shared" si="10"/>
        <v/>
      </c>
    </row>
    <row r="670" spans="9:9" x14ac:dyDescent="0.25">
      <c r="I670" s="10" t="str">
        <f t="shared" si="10"/>
        <v/>
      </c>
    </row>
    <row r="671" spans="9:9" x14ac:dyDescent="0.25">
      <c r="I671" s="10" t="str">
        <f t="shared" si="10"/>
        <v/>
      </c>
    </row>
    <row r="672" spans="9:9" x14ac:dyDescent="0.25">
      <c r="I672" s="10" t="str">
        <f t="shared" si="10"/>
        <v/>
      </c>
    </row>
    <row r="673" spans="9:9" x14ac:dyDescent="0.25">
      <c r="I673" s="10" t="str">
        <f t="shared" si="10"/>
        <v/>
      </c>
    </row>
    <row r="674" spans="9:9" x14ac:dyDescent="0.25">
      <c r="I674" s="10" t="str">
        <f t="shared" si="10"/>
        <v/>
      </c>
    </row>
    <row r="675" spans="9:9" x14ac:dyDescent="0.25">
      <c r="I675" s="10" t="str">
        <f t="shared" si="10"/>
        <v/>
      </c>
    </row>
    <row r="676" spans="9:9" x14ac:dyDescent="0.25">
      <c r="I676" s="10" t="str">
        <f t="shared" si="10"/>
        <v/>
      </c>
    </row>
    <row r="677" spans="9:9" x14ac:dyDescent="0.25">
      <c r="I677" s="10" t="str">
        <f t="shared" si="10"/>
        <v/>
      </c>
    </row>
    <row r="678" spans="9:9" x14ac:dyDescent="0.25">
      <c r="I678" s="10" t="str">
        <f t="shared" si="10"/>
        <v/>
      </c>
    </row>
    <row r="679" spans="9:9" x14ac:dyDescent="0.25">
      <c r="I679" s="10" t="str">
        <f t="shared" si="10"/>
        <v/>
      </c>
    </row>
    <row r="680" spans="9:9" x14ac:dyDescent="0.25">
      <c r="I680" s="10" t="str">
        <f t="shared" si="10"/>
        <v/>
      </c>
    </row>
    <row r="681" spans="9:9" x14ac:dyDescent="0.25">
      <c r="I681" s="10" t="str">
        <f t="shared" si="10"/>
        <v/>
      </c>
    </row>
    <row r="682" spans="9:9" x14ac:dyDescent="0.25">
      <c r="I682" s="10" t="str">
        <f t="shared" si="10"/>
        <v/>
      </c>
    </row>
    <row r="683" spans="9:9" x14ac:dyDescent="0.25">
      <c r="I683" s="10" t="str">
        <f t="shared" si="10"/>
        <v/>
      </c>
    </row>
    <row r="684" spans="9:9" x14ac:dyDescent="0.25">
      <c r="I684" s="10" t="str">
        <f t="shared" si="10"/>
        <v/>
      </c>
    </row>
    <row r="685" spans="9:9" x14ac:dyDescent="0.25">
      <c r="I685" s="10" t="str">
        <f t="shared" si="10"/>
        <v/>
      </c>
    </row>
    <row r="686" spans="9:9" x14ac:dyDescent="0.25">
      <c r="I686" s="10" t="str">
        <f t="shared" si="10"/>
        <v/>
      </c>
    </row>
    <row r="687" spans="9:9" x14ac:dyDescent="0.25">
      <c r="I687" s="10" t="str">
        <f t="shared" si="10"/>
        <v/>
      </c>
    </row>
    <row r="688" spans="9:9" x14ac:dyDescent="0.25">
      <c r="I688" s="10" t="str">
        <f t="shared" si="10"/>
        <v/>
      </c>
    </row>
    <row r="689" spans="9:9" x14ac:dyDescent="0.25">
      <c r="I689" s="10" t="str">
        <f t="shared" si="10"/>
        <v/>
      </c>
    </row>
    <row r="690" spans="9:9" x14ac:dyDescent="0.25">
      <c r="I690" s="10" t="str">
        <f t="shared" si="10"/>
        <v/>
      </c>
    </row>
    <row r="691" spans="9:9" x14ac:dyDescent="0.25">
      <c r="I691" s="10" t="str">
        <f t="shared" si="10"/>
        <v/>
      </c>
    </row>
    <row r="692" spans="9:9" x14ac:dyDescent="0.25">
      <c r="I692" s="10" t="str">
        <f t="shared" si="10"/>
        <v/>
      </c>
    </row>
    <row r="693" spans="9:9" x14ac:dyDescent="0.25">
      <c r="I693" s="10" t="str">
        <f t="shared" si="10"/>
        <v/>
      </c>
    </row>
    <row r="694" spans="9:9" x14ac:dyDescent="0.25">
      <c r="I694" s="10" t="str">
        <f t="shared" si="10"/>
        <v/>
      </c>
    </row>
    <row r="695" spans="9:9" x14ac:dyDescent="0.25">
      <c r="I695" s="10" t="str">
        <f t="shared" si="10"/>
        <v/>
      </c>
    </row>
    <row r="696" spans="9:9" x14ac:dyDescent="0.25">
      <c r="I696" s="10" t="str">
        <f t="shared" si="10"/>
        <v/>
      </c>
    </row>
    <row r="697" spans="9:9" x14ac:dyDescent="0.25">
      <c r="I697" s="10" t="str">
        <f t="shared" si="10"/>
        <v/>
      </c>
    </row>
    <row r="698" spans="9:9" x14ac:dyDescent="0.25">
      <c r="I698" s="10" t="str">
        <f t="shared" si="10"/>
        <v/>
      </c>
    </row>
    <row r="699" spans="9:9" x14ac:dyDescent="0.25">
      <c r="I699" s="10" t="str">
        <f t="shared" si="10"/>
        <v/>
      </c>
    </row>
    <row r="700" spans="9:9" x14ac:dyDescent="0.25">
      <c r="I700" s="10" t="str">
        <f t="shared" si="10"/>
        <v/>
      </c>
    </row>
    <row r="701" spans="9:9" x14ac:dyDescent="0.25">
      <c r="I701" s="10" t="str">
        <f t="shared" si="10"/>
        <v/>
      </c>
    </row>
    <row r="702" spans="9:9" x14ac:dyDescent="0.25">
      <c r="I702" s="10" t="str">
        <f t="shared" si="10"/>
        <v/>
      </c>
    </row>
    <row r="703" spans="9:9" x14ac:dyDescent="0.25">
      <c r="I703" s="10" t="str">
        <f t="shared" si="10"/>
        <v/>
      </c>
    </row>
    <row r="704" spans="9:9" x14ac:dyDescent="0.25">
      <c r="I704" s="10" t="str">
        <f t="shared" si="10"/>
        <v/>
      </c>
    </row>
    <row r="705" spans="9:9" x14ac:dyDescent="0.25">
      <c r="I705" s="10" t="str">
        <f t="shared" si="10"/>
        <v/>
      </c>
    </row>
    <row r="706" spans="9:9" x14ac:dyDescent="0.25">
      <c r="I706" s="10" t="str">
        <f t="shared" si="10"/>
        <v/>
      </c>
    </row>
    <row r="707" spans="9:9" x14ac:dyDescent="0.25">
      <c r="I707" s="10" t="str">
        <f t="shared" ref="I707:I770" si="11">IFERROR(DATEVALUE(D707),"")</f>
        <v/>
      </c>
    </row>
    <row r="708" spans="9:9" x14ac:dyDescent="0.25">
      <c r="I708" s="10" t="str">
        <f t="shared" si="11"/>
        <v/>
      </c>
    </row>
    <row r="709" spans="9:9" x14ac:dyDescent="0.25">
      <c r="I709" s="10" t="str">
        <f t="shared" si="11"/>
        <v/>
      </c>
    </row>
    <row r="710" spans="9:9" x14ac:dyDescent="0.25">
      <c r="I710" s="10" t="str">
        <f t="shared" si="11"/>
        <v/>
      </c>
    </row>
    <row r="711" spans="9:9" x14ac:dyDescent="0.25">
      <c r="I711" s="10" t="str">
        <f t="shared" si="11"/>
        <v/>
      </c>
    </row>
    <row r="712" spans="9:9" x14ac:dyDescent="0.25">
      <c r="I712" s="10" t="str">
        <f t="shared" si="11"/>
        <v/>
      </c>
    </row>
    <row r="713" spans="9:9" x14ac:dyDescent="0.25">
      <c r="I713" s="10" t="str">
        <f t="shared" si="11"/>
        <v/>
      </c>
    </row>
    <row r="714" spans="9:9" x14ac:dyDescent="0.25">
      <c r="I714" s="10" t="str">
        <f t="shared" si="11"/>
        <v/>
      </c>
    </row>
    <row r="715" spans="9:9" x14ac:dyDescent="0.25">
      <c r="I715" s="10" t="str">
        <f t="shared" si="11"/>
        <v/>
      </c>
    </row>
    <row r="716" spans="9:9" x14ac:dyDescent="0.25">
      <c r="I716" s="10" t="str">
        <f t="shared" si="11"/>
        <v/>
      </c>
    </row>
    <row r="717" spans="9:9" x14ac:dyDescent="0.25">
      <c r="I717" s="10" t="str">
        <f t="shared" si="11"/>
        <v/>
      </c>
    </row>
    <row r="718" spans="9:9" x14ac:dyDescent="0.25">
      <c r="I718" s="10" t="str">
        <f t="shared" si="11"/>
        <v/>
      </c>
    </row>
    <row r="719" spans="9:9" x14ac:dyDescent="0.25">
      <c r="I719" s="10" t="str">
        <f t="shared" si="11"/>
        <v/>
      </c>
    </row>
    <row r="720" spans="9:9" x14ac:dyDescent="0.25">
      <c r="I720" s="10" t="str">
        <f t="shared" si="11"/>
        <v/>
      </c>
    </row>
    <row r="721" spans="9:9" x14ac:dyDescent="0.25">
      <c r="I721" s="10" t="str">
        <f t="shared" si="11"/>
        <v/>
      </c>
    </row>
    <row r="722" spans="9:9" x14ac:dyDescent="0.25">
      <c r="I722" s="10" t="str">
        <f t="shared" si="11"/>
        <v/>
      </c>
    </row>
    <row r="723" spans="9:9" x14ac:dyDescent="0.25">
      <c r="I723" s="10" t="str">
        <f t="shared" si="11"/>
        <v/>
      </c>
    </row>
    <row r="724" spans="9:9" x14ac:dyDescent="0.25">
      <c r="I724" s="10" t="str">
        <f t="shared" si="11"/>
        <v/>
      </c>
    </row>
    <row r="725" spans="9:9" x14ac:dyDescent="0.25">
      <c r="I725" s="10" t="str">
        <f t="shared" si="11"/>
        <v/>
      </c>
    </row>
    <row r="726" spans="9:9" x14ac:dyDescent="0.25">
      <c r="I726" s="10" t="str">
        <f t="shared" si="11"/>
        <v/>
      </c>
    </row>
    <row r="727" spans="9:9" x14ac:dyDescent="0.25">
      <c r="I727" s="10" t="str">
        <f t="shared" si="11"/>
        <v/>
      </c>
    </row>
    <row r="728" spans="9:9" x14ac:dyDescent="0.25">
      <c r="I728" s="10" t="str">
        <f t="shared" si="11"/>
        <v/>
      </c>
    </row>
    <row r="729" spans="9:9" x14ac:dyDescent="0.25">
      <c r="I729" s="10" t="str">
        <f t="shared" si="11"/>
        <v/>
      </c>
    </row>
    <row r="730" spans="9:9" x14ac:dyDescent="0.25">
      <c r="I730" s="10" t="str">
        <f t="shared" si="11"/>
        <v/>
      </c>
    </row>
    <row r="731" spans="9:9" x14ac:dyDescent="0.25">
      <c r="I731" s="10" t="str">
        <f t="shared" si="11"/>
        <v/>
      </c>
    </row>
    <row r="732" spans="9:9" x14ac:dyDescent="0.25">
      <c r="I732" s="10" t="str">
        <f t="shared" si="11"/>
        <v/>
      </c>
    </row>
    <row r="733" spans="9:9" x14ac:dyDescent="0.25">
      <c r="I733" s="10" t="str">
        <f t="shared" si="11"/>
        <v/>
      </c>
    </row>
    <row r="734" spans="9:9" x14ac:dyDescent="0.25">
      <c r="I734" s="10" t="str">
        <f t="shared" si="11"/>
        <v/>
      </c>
    </row>
    <row r="735" spans="9:9" x14ac:dyDescent="0.25">
      <c r="I735" s="10" t="str">
        <f t="shared" si="11"/>
        <v/>
      </c>
    </row>
    <row r="736" spans="9:9" x14ac:dyDescent="0.25">
      <c r="I736" s="10" t="str">
        <f t="shared" si="11"/>
        <v/>
      </c>
    </row>
    <row r="737" spans="9:9" x14ac:dyDescent="0.25">
      <c r="I737" s="10" t="str">
        <f t="shared" si="11"/>
        <v/>
      </c>
    </row>
    <row r="738" spans="9:9" x14ac:dyDescent="0.25">
      <c r="I738" s="10" t="str">
        <f t="shared" si="11"/>
        <v/>
      </c>
    </row>
    <row r="739" spans="9:9" x14ac:dyDescent="0.25">
      <c r="I739" s="10" t="str">
        <f t="shared" si="11"/>
        <v/>
      </c>
    </row>
    <row r="740" spans="9:9" x14ac:dyDescent="0.25">
      <c r="I740" s="10" t="str">
        <f t="shared" si="11"/>
        <v/>
      </c>
    </row>
    <row r="741" spans="9:9" x14ac:dyDescent="0.25">
      <c r="I741" s="10" t="str">
        <f t="shared" si="11"/>
        <v/>
      </c>
    </row>
    <row r="742" spans="9:9" x14ac:dyDescent="0.25">
      <c r="I742" s="10" t="str">
        <f t="shared" si="11"/>
        <v/>
      </c>
    </row>
    <row r="743" spans="9:9" x14ac:dyDescent="0.25">
      <c r="I743" s="10" t="str">
        <f t="shared" si="11"/>
        <v/>
      </c>
    </row>
    <row r="744" spans="9:9" x14ac:dyDescent="0.25">
      <c r="I744" s="10" t="str">
        <f t="shared" si="11"/>
        <v/>
      </c>
    </row>
    <row r="745" spans="9:9" x14ac:dyDescent="0.25">
      <c r="I745" s="10" t="str">
        <f t="shared" si="11"/>
        <v/>
      </c>
    </row>
    <row r="746" spans="9:9" x14ac:dyDescent="0.25">
      <c r="I746" s="10" t="str">
        <f t="shared" si="11"/>
        <v/>
      </c>
    </row>
    <row r="747" spans="9:9" x14ac:dyDescent="0.25">
      <c r="I747" s="10" t="str">
        <f t="shared" si="11"/>
        <v/>
      </c>
    </row>
    <row r="748" spans="9:9" x14ac:dyDescent="0.25">
      <c r="I748" s="10" t="str">
        <f t="shared" si="11"/>
        <v/>
      </c>
    </row>
    <row r="749" spans="9:9" x14ac:dyDescent="0.25">
      <c r="I749" s="10" t="str">
        <f t="shared" si="11"/>
        <v/>
      </c>
    </row>
    <row r="750" spans="9:9" x14ac:dyDescent="0.25">
      <c r="I750" s="10" t="str">
        <f t="shared" si="11"/>
        <v/>
      </c>
    </row>
    <row r="751" spans="9:9" x14ac:dyDescent="0.25">
      <c r="I751" s="10" t="str">
        <f t="shared" si="11"/>
        <v/>
      </c>
    </row>
    <row r="752" spans="9:9" x14ac:dyDescent="0.25">
      <c r="I752" s="10" t="str">
        <f t="shared" si="11"/>
        <v/>
      </c>
    </row>
    <row r="753" spans="9:9" x14ac:dyDescent="0.25">
      <c r="I753" s="10" t="str">
        <f t="shared" si="11"/>
        <v/>
      </c>
    </row>
    <row r="754" spans="9:9" x14ac:dyDescent="0.25">
      <c r="I754" s="10" t="str">
        <f t="shared" si="11"/>
        <v/>
      </c>
    </row>
    <row r="755" spans="9:9" x14ac:dyDescent="0.25">
      <c r="I755" s="10" t="str">
        <f t="shared" si="11"/>
        <v/>
      </c>
    </row>
    <row r="756" spans="9:9" x14ac:dyDescent="0.25">
      <c r="I756" s="10" t="str">
        <f t="shared" si="11"/>
        <v/>
      </c>
    </row>
    <row r="757" spans="9:9" x14ac:dyDescent="0.25">
      <c r="I757" s="10" t="str">
        <f t="shared" si="11"/>
        <v/>
      </c>
    </row>
    <row r="758" spans="9:9" x14ac:dyDescent="0.25">
      <c r="I758" s="10" t="str">
        <f t="shared" si="11"/>
        <v/>
      </c>
    </row>
    <row r="759" spans="9:9" x14ac:dyDescent="0.25">
      <c r="I759" s="10" t="str">
        <f t="shared" si="11"/>
        <v/>
      </c>
    </row>
    <row r="760" spans="9:9" x14ac:dyDescent="0.25">
      <c r="I760" s="10" t="str">
        <f t="shared" si="11"/>
        <v/>
      </c>
    </row>
    <row r="761" spans="9:9" x14ac:dyDescent="0.25">
      <c r="I761" s="10" t="str">
        <f t="shared" si="11"/>
        <v/>
      </c>
    </row>
    <row r="762" spans="9:9" x14ac:dyDescent="0.25">
      <c r="I762" s="10" t="str">
        <f t="shared" si="11"/>
        <v/>
      </c>
    </row>
    <row r="763" spans="9:9" x14ac:dyDescent="0.25">
      <c r="I763" s="10" t="str">
        <f t="shared" si="11"/>
        <v/>
      </c>
    </row>
    <row r="764" spans="9:9" x14ac:dyDescent="0.25">
      <c r="I764" s="10" t="str">
        <f t="shared" si="11"/>
        <v/>
      </c>
    </row>
    <row r="765" spans="9:9" x14ac:dyDescent="0.25">
      <c r="I765" s="10" t="str">
        <f t="shared" si="11"/>
        <v/>
      </c>
    </row>
    <row r="766" spans="9:9" x14ac:dyDescent="0.25">
      <c r="I766" s="10" t="str">
        <f t="shared" si="11"/>
        <v/>
      </c>
    </row>
    <row r="767" spans="9:9" x14ac:dyDescent="0.25">
      <c r="I767" s="10" t="str">
        <f t="shared" si="11"/>
        <v/>
      </c>
    </row>
    <row r="768" spans="9:9" x14ac:dyDescent="0.25">
      <c r="I768" s="10" t="str">
        <f t="shared" si="11"/>
        <v/>
      </c>
    </row>
    <row r="769" spans="9:9" x14ac:dyDescent="0.25">
      <c r="I769" s="10" t="str">
        <f t="shared" si="11"/>
        <v/>
      </c>
    </row>
    <row r="770" spans="9:9" x14ac:dyDescent="0.25">
      <c r="I770" s="10" t="str">
        <f t="shared" si="11"/>
        <v/>
      </c>
    </row>
    <row r="771" spans="9:9" x14ac:dyDescent="0.25">
      <c r="I771" s="10" t="str">
        <f t="shared" ref="I771:I834" si="12">IFERROR(DATEVALUE(D771),"")</f>
        <v/>
      </c>
    </row>
    <row r="772" spans="9:9" x14ac:dyDescent="0.25">
      <c r="I772" s="10" t="str">
        <f t="shared" si="12"/>
        <v/>
      </c>
    </row>
    <row r="773" spans="9:9" x14ac:dyDescent="0.25">
      <c r="I773" s="10" t="str">
        <f t="shared" si="12"/>
        <v/>
      </c>
    </row>
    <row r="774" spans="9:9" x14ac:dyDescent="0.25">
      <c r="I774" s="10" t="str">
        <f t="shared" si="12"/>
        <v/>
      </c>
    </row>
    <row r="775" spans="9:9" x14ac:dyDescent="0.25">
      <c r="I775" s="10" t="str">
        <f t="shared" si="12"/>
        <v/>
      </c>
    </row>
    <row r="776" spans="9:9" x14ac:dyDescent="0.25">
      <c r="I776" s="10" t="str">
        <f t="shared" si="12"/>
        <v/>
      </c>
    </row>
    <row r="777" spans="9:9" x14ac:dyDescent="0.25">
      <c r="I777" s="10" t="str">
        <f t="shared" si="12"/>
        <v/>
      </c>
    </row>
    <row r="778" spans="9:9" x14ac:dyDescent="0.25">
      <c r="I778" s="10" t="str">
        <f t="shared" si="12"/>
        <v/>
      </c>
    </row>
    <row r="779" spans="9:9" x14ac:dyDescent="0.25">
      <c r="I779" s="10" t="str">
        <f t="shared" si="12"/>
        <v/>
      </c>
    </row>
    <row r="780" spans="9:9" x14ac:dyDescent="0.25">
      <c r="I780" s="10" t="str">
        <f t="shared" si="12"/>
        <v/>
      </c>
    </row>
    <row r="781" spans="9:9" x14ac:dyDescent="0.25">
      <c r="I781" s="10" t="str">
        <f t="shared" si="12"/>
        <v/>
      </c>
    </row>
    <row r="782" spans="9:9" x14ac:dyDescent="0.25">
      <c r="I782" s="10" t="str">
        <f t="shared" si="12"/>
        <v/>
      </c>
    </row>
    <row r="783" spans="9:9" x14ac:dyDescent="0.25">
      <c r="I783" s="10" t="str">
        <f t="shared" si="12"/>
        <v/>
      </c>
    </row>
    <row r="784" spans="9:9" x14ac:dyDescent="0.25">
      <c r="I784" s="10" t="str">
        <f t="shared" si="12"/>
        <v/>
      </c>
    </row>
    <row r="785" spans="9:9" x14ac:dyDescent="0.25">
      <c r="I785" s="10" t="str">
        <f t="shared" si="12"/>
        <v/>
      </c>
    </row>
    <row r="786" spans="9:9" x14ac:dyDescent="0.25">
      <c r="I786" s="10" t="str">
        <f t="shared" si="12"/>
        <v/>
      </c>
    </row>
    <row r="787" spans="9:9" x14ac:dyDescent="0.25">
      <c r="I787" s="10" t="str">
        <f t="shared" si="12"/>
        <v/>
      </c>
    </row>
    <row r="788" spans="9:9" x14ac:dyDescent="0.25">
      <c r="I788" s="10" t="str">
        <f t="shared" si="12"/>
        <v/>
      </c>
    </row>
    <row r="789" spans="9:9" x14ac:dyDescent="0.25">
      <c r="I789" s="10" t="str">
        <f t="shared" si="12"/>
        <v/>
      </c>
    </row>
    <row r="790" spans="9:9" x14ac:dyDescent="0.25">
      <c r="I790" s="10" t="str">
        <f t="shared" si="12"/>
        <v/>
      </c>
    </row>
    <row r="791" spans="9:9" x14ac:dyDescent="0.25">
      <c r="I791" s="10" t="str">
        <f t="shared" si="12"/>
        <v/>
      </c>
    </row>
    <row r="792" spans="9:9" x14ac:dyDescent="0.25">
      <c r="I792" s="10" t="str">
        <f t="shared" si="12"/>
        <v/>
      </c>
    </row>
    <row r="793" spans="9:9" x14ac:dyDescent="0.25">
      <c r="I793" s="10" t="str">
        <f t="shared" si="12"/>
        <v/>
      </c>
    </row>
    <row r="794" spans="9:9" x14ac:dyDescent="0.25">
      <c r="I794" s="10" t="str">
        <f t="shared" si="12"/>
        <v/>
      </c>
    </row>
    <row r="795" spans="9:9" x14ac:dyDescent="0.25">
      <c r="I795" s="10" t="str">
        <f t="shared" si="12"/>
        <v/>
      </c>
    </row>
    <row r="796" spans="9:9" x14ac:dyDescent="0.25">
      <c r="I796" s="10" t="str">
        <f t="shared" si="12"/>
        <v/>
      </c>
    </row>
    <row r="797" spans="9:9" x14ac:dyDescent="0.25">
      <c r="I797" s="10" t="str">
        <f t="shared" si="12"/>
        <v/>
      </c>
    </row>
    <row r="798" spans="9:9" x14ac:dyDescent="0.25">
      <c r="I798" s="10" t="str">
        <f t="shared" si="12"/>
        <v/>
      </c>
    </row>
    <row r="799" spans="9:9" x14ac:dyDescent="0.25">
      <c r="I799" s="10" t="str">
        <f t="shared" si="12"/>
        <v/>
      </c>
    </row>
    <row r="800" spans="9:9" x14ac:dyDescent="0.25">
      <c r="I800" s="10" t="str">
        <f t="shared" si="12"/>
        <v/>
      </c>
    </row>
    <row r="801" spans="9:9" x14ac:dyDescent="0.25">
      <c r="I801" s="10" t="str">
        <f t="shared" si="12"/>
        <v/>
      </c>
    </row>
    <row r="802" spans="9:9" x14ac:dyDescent="0.25">
      <c r="I802" s="10" t="str">
        <f t="shared" si="12"/>
        <v/>
      </c>
    </row>
    <row r="803" spans="9:9" x14ac:dyDescent="0.25">
      <c r="I803" s="10" t="str">
        <f t="shared" si="12"/>
        <v/>
      </c>
    </row>
    <row r="804" spans="9:9" x14ac:dyDescent="0.25">
      <c r="I804" s="10" t="str">
        <f t="shared" si="12"/>
        <v/>
      </c>
    </row>
    <row r="805" spans="9:9" x14ac:dyDescent="0.25">
      <c r="I805" s="10" t="str">
        <f t="shared" si="12"/>
        <v/>
      </c>
    </row>
    <row r="806" spans="9:9" x14ac:dyDescent="0.25">
      <c r="I806" s="10" t="str">
        <f t="shared" si="12"/>
        <v/>
      </c>
    </row>
    <row r="807" spans="9:9" x14ac:dyDescent="0.25">
      <c r="I807" s="10" t="str">
        <f t="shared" si="12"/>
        <v/>
      </c>
    </row>
    <row r="808" spans="9:9" x14ac:dyDescent="0.25">
      <c r="I808" s="10" t="str">
        <f t="shared" si="12"/>
        <v/>
      </c>
    </row>
    <row r="809" spans="9:9" x14ac:dyDescent="0.25">
      <c r="I809" s="10" t="str">
        <f t="shared" si="12"/>
        <v/>
      </c>
    </row>
    <row r="810" spans="9:9" x14ac:dyDescent="0.25">
      <c r="I810" s="10" t="str">
        <f t="shared" si="12"/>
        <v/>
      </c>
    </row>
    <row r="811" spans="9:9" x14ac:dyDescent="0.25">
      <c r="I811" s="10" t="str">
        <f t="shared" si="12"/>
        <v/>
      </c>
    </row>
    <row r="812" spans="9:9" x14ac:dyDescent="0.25">
      <c r="I812" s="10" t="str">
        <f t="shared" si="12"/>
        <v/>
      </c>
    </row>
    <row r="813" spans="9:9" x14ac:dyDescent="0.25">
      <c r="I813" s="10" t="str">
        <f t="shared" si="12"/>
        <v/>
      </c>
    </row>
    <row r="814" spans="9:9" x14ac:dyDescent="0.25">
      <c r="I814" s="10" t="str">
        <f t="shared" si="12"/>
        <v/>
      </c>
    </row>
    <row r="815" spans="9:9" x14ac:dyDescent="0.25">
      <c r="I815" s="10" t="str">
        <f t="shared" si="12"/>
        <v/>
      </c>
    </row>
    <row r="816" spans="9:9" x14ac:dyDescent="0.25">
      <c r="I816" s="10" t="str">
        <f t="shared" si="12"/>
        <v/>
      </c>
    </row>
    <row r="817" spans="9:9" x14ac:dyDescent="0.25">
      <c r="I817" s="10" t="str">
        <f t="shared" si="12"/>
        <v/>
      </c>
    </row>
    <row r="818" spans="9:9" x14ac:dyDescent="0.25">
      <c r="I818" s="10" t="str">
        <f t="shared" si="12"/>
        <v/>
      </c>
    </row>
    <row r="819" spans="9:9" x14ac:dyDescent="0.25">
      <c r="I819" s="10" t="str">
        <f t="shared" si="12"/>
        <v/>
      </c>
    </row>
    <row r="820" spans="9:9" x14ac:dyDescent="0.25">
      <c r="I820" s="10" t="str">
        <f t="shared" si="12"/>
        <v/>
      </c>
    </row>
    <row r="821" spans="9:9" x14ac:dyDescent="0.25">
      <c r="I821" s="10" t="str">
        <f t="shared" si="12"/>
        <v/>
      </c>
    </row>
    <row r="822" spans="9:9" x14ac:dyDescent="0.25">
      <c r="I822" s="10" t="str">
        <f t="shared" si="12"/>
        <v/>
      </c>
    </row>
    <row r="823" spans="9:9" x14ac:dyDescent="0.25">
      <c r="I823" s="10" t="str">
        <f t="shared" si="12"/>
        <v/>
      </c>
    </row>
    <row r="824" spans="9:9" x14ac:dyDescent="0.25">
      <c r="I824" s="10" t="str">
        <f t="shared" si="12"/>
        <v/>
      </c>
    </row>
    <row r="825" spans="9:9" x14ac:dyDescent="0.25">
      <c r="I825" s="10" t="str">
        <f t="shared" si="12"/>
        <v/>
      </c>
    </row>
    <row r="826" spans="9:9" x14ac:dyDescent="0.25">
      <c r="I826" s="10" t="str">
        <f t="shared" si="12"/>
        <v/>
      </c>
    </row>
    <row r="827" spans="9:9" x14ac:dyDescent="0.25">
      <c r="I827" s="10" t="str">
        <f t="shared" si="12"/>
        <v/>
      </c>
    </row>
    <row r="828" spans="9:9" x14ac:dyDescent="0.25">
      <c r="I828" s="10" t="str">
        <f t="shared" si="12"/>
        <v/>
      </c>
    </row>
    <row r="829" spans="9:9" x14ac:dyDescent="0.25">
      <c r="I829" s="10" t="str">
        <f t="shared" si="12"/>
        <v/>
      </c>
    </row>
    <row r="830" spans="9:9" x14ac:dyDescent="0.25">
      <c r="I830" s="10" t="str">
        <f t="shared" si="12"/>
        <v/>
      </c>
    </row>
    <row r="831" spans="9:9" x14ac:dyDescent="0.25">
      <c r="I831" s="10" t="str">
        <f t="shared" si="12"/>
        <v/>
      </c>
    </row>
    <row r="832" spans="9:9" x14ac:dyDescent="0.25">
      <c r="I832" s="10" t="str">
        <f t="shared" si="12"/>
        <v/>
      </c>
    </row>
    <row r="833" spans="9:9" x14ac:dyDescent="0.25">
      <c r="I833" s="10" t="str">
        <f t="shared" si="12"/>
        <v/>
      </c>
    </row>
    <row r="834" spans="9:9" x14ac:dyDescent="0.25">
      <c r="I834" s="10" t="str">
        <f t="shared" si="12"/>
        <v/>
      </c>
    </row>
    <row r="835" spans="9:9" x14ac:dyDescent="0.25">
      <c r="I835" s="10" t="str">
        <f t="shared" ref="I835:I898" si="13">IFERROR(DATEVALUE(D835),"")</f>
        <v/>
      </c>
    </row>
    <row r="836" spans="9:9" x14ac:dyDescent="0.25">
      <c r="I836" s="10" t="str">
        <f t="shared" si="13"/>
        <v/>
      </c>
    </row>
    <row r="837" spans="9:9" x14ac:dyDescent="0.25">
      <c r="I837" s="10" t="str">
        <f t="shared" si="13"/>
        <v/>
      </c>
    </row>
    <row r="838" spans="9:9" x14ac:dyDescent="0.25">
      <c r="I838" s="10" t="str">
        <f t="shared" si="13"/>
        <v/>
      </c>
    </row>
    <row r="839" spans="9:9" x14ac:dyDescent="0.25">
      <c r="I839" s="10" t="str">
        <f t="shared" si="13"/>
        <v/>
      </c>
    </row>
    <row r="840" spans="9:9" x14ac:dyDescent="0.25">
      <c r="I840" s="10" t="str">
        <f t="shared" si="13"/>
        <v/>
      </c>
    </row>
    <row r="841" spans="9:9" x14ac:dyDescent="0.25">
      <c r="I841" s="10" t="str">
        <f t="shared" si="13"/>
        <v/>
      </c>
    </row>
    <row r="842" spans="9:9" x14ac:dyDescent="0.25">
      <c r="I842" s="10" t="str">
        <f t="shared" si="13"/>
        <v/>
      </c>
    </row>
    <row r="843" spans="9:9" x14ac:dyDescent="0.25">
      <c r="I843" s="10" t="str">
        <f t="shared" si="13"/>
        <v/>
      </c>
    </row>
    <row r="844" spans="9:9" x14ac:dyDescent="0.25">
      <c r="I844" s="10" t="str">
        <f t="shared" si="13"/>
        <v/>
      </c>
    </row>
    <row r="845" spans="9:9" x14ac:dyDescent="0.25">
      <c r="I845" s="10" t="str">
        <f t="shared" si="13"/>
        <v/>
      </c>
    </row>
    <row r="846" spans="9:9" x14ac:dyDescent="0.25">
      <c r="I846" s="10" t="str">
        <f t="shared" si="13"/>
        <v/>
      </c>
    </row>
    <row r="847" spans="9:9" x14ac:dyDescent="0.25">
      <c r="I847" s="10" t="str">
        <f t="shared" si="13"/>
        <v/>
      </c>
    </row>
    <row r="848" spans="9:9" x14ac:dyDescent="0.25">
      <c r="I848" s="10" t="str">
        <f t="shared" si="13"/>
        <v/>
      </c>
    </row>
    <row r="849" spans="9:9" x14ac:dyDescent="0.25">
      <c r="I849" s="10" t="str">
        <f t="shared" si="13"/>
        <v/>
      </c>
    </row>
    <row r="850" spans="9:9" x14ac:dyDescent="0.25">
      <c r="I850" s="10" t="str">
        <f t="shared" si="13"/>
        <v/>
      </c>
    </row>
    <row r="851" spans="9:9" x14ac:dyDescent="0.25">
      <c r="I851" s="10" t="str">
        <f t="shared" si="13"/>
        <v/>
      </c>
    </row>
    <row r="852" spans="9:9" x14ac:dyDescent="0.25">
      <c r="I852" s="10" t="str">
        <f t="shared" si="13"/>
        <v/>
      </c>
    </row>
    <row r="853" spans="9:9" x14ac:dyDescent="0.25">
      <c r="I853" s="10" t="str">
        <f t="shared" si="13"/>
        <v/>
      </c>
    </row>
    <row r="854" spans="9:9" x14ac:dyDescent="0.25">
      <c r="I854" s="10" t="str">
        <f t="shared" si="13"/>
        <v/>
      </c>
    </row>
    <row r="855" spans="9:9" x14ac:dyDescent="0.25">
      <c r="I855" s="10" t="str">
        <f t="shared" si="13"/>
        <v/>
      </c>
    </row>
    <row r="856" spans="9:9" x14ac:dyDescent="0.25">
      <c r="I856" s="10" t="str">
        <f t="shared" si="13"/>
        <v/>
      </c>
    </row>
    <row r="857" spans="9:9" x14ac:dyDescent="0.25">
      <c r="I857" s="10" t="str">
        <f t="shared" si="13"/>
        <v/>
      </c>
    </row>
    <row r="858" spans="9:9" x14ac:dyDescent="0.25">
      <c r="I858" s="10" t="str">
        <f t="shared" si="13"/>
        <v/>
      </c>
    </row>
    <row r="859" spans="9:9" x14ac:dyDescent="0.25">
      <c r="I859" s="10" t="str">
        <f t="shared" si="13"/>
        <v/>
      </c>
    </row>
    <row r="860" spans="9:9" x14ac:dyDescent="0.25">
      <c r="I860" s="10" t="str">
        <f t="shared" si="13"/>
        <v/>
      </c>
    </row>
    <row r="861" spans="9:9" x14ac:dyDescent="0.25">
      <c r="I861" s="10" t="str">
        <f t="shared" si="13"/>
        <v/>
      </c>
    </row>
    <row r="862" spans="9:9" x14ac:dyDescent="0.25">
      <c r="I862" s="10" t="str">
        <f t="shared" si="13"/>
        <v/>
      </c>
    </row>
    <row r="863" spans="9:9" x14ac:dyDescent="0.25">
      <c r="I863" s="10" t="str">
        <f t="shared" si="13"/>
        <v/>
      </c>
    </row>
    <row r="864" spans="9:9" x14ac:dyDescent="0.25">
      <c r="I864" s="10" t="str">
        <f t="shared" si="13"/>
        <v/>
      </c>
    </row>
    <row r="865" spans="9:9" x14ac:dyDescent="0.25">
      <c r="I865" s="10" t="str">
        <f t="shared" si="13"/>
        <v/>
      </c>
    </row>
    <row r="866" spans="9:9" x14ac:dyDescent="0.25">
      <c r="I866" s="10" t="str">
        <f t="shared" si="13"/>
        <v/>
      </c>
    </row>
    <row r="867" spans="9:9" x14ac:dyDescent="0.25">
      <c r="I867" s="10" t="str">
        <f t="shared" si="13"/>
        <v/>
      </c>
    </row>
    <row r="868" spans="9:9" x14ac:dyDescent="0.25">
      <c r="I868" s="10" t="str">
        <f t="shared" si="13"/>
        <v/>
      </c>
    </row>
    <row r="869" spans="9:9" x14ac:dyDescent="0.25">
      <c r="I869" s="10" t="str">
        <f t="shared" si="13"/>
        <v/>
      </c>
    </row>
    <row r="870" spans="9:9" x14ac:dyDescent="0.25">
      <c r="I870" s="10" t="str">
        <f t="shared" si="13"/>
        <v/>
      </c>
    </row>
    <row r="871" spans="9:9" x14ac:dyDescent="0.25">
      <c r="I871" s="10" t="str">
        <f t="shared" si="13"/>
        <v/>
      </c>
    </row>
    <row r="872" spans="9:9" x14ac:dyDescent="0.25">
      <c r="I872" s="10" t="str">
        <f t="shared" si="13"/>
        <v/>
      </c>
    </row>
    <row r="873" spans="9:9" x14ac:dyDescent="0.25">
      <c r="I873" s="10" t="str">
        <f t="shared" si="13"/>
        <v/>
      </c>
    </row>
    <row r="874" spans="9:9" x14ac:dyDescent="0.25">
      <c r="I874" s="10" t="str">
        <f t="shared" si="13"/>
        <v/>
      </c>
    </row>
    <row r="875" spans="9:9" x14ac:dyDescent="0.25">
      <c r="I875" s="10" t="str">
        <f t="shared" si="13"/>
        <v/>
      </c>
    </row>
    <row r="876" spans="9:9" x14ac:dyDescent="0.25">
      <c r="I876" s="10" t="str">
        <f t="shared" si="13"/>
        <v/>
      </c>
    </row>
    <row r="877" spans="9:9" x14ac:dyDescent="0.25">
      <c r="I877" s="10" t="str">
        <f t="shared" si="13"/>
        <v/>
      </c>
    </row>
    <row r="878" spans="9:9" x14ac:dyDescent="0.25">
      <c r="I878" s="10" t="str">
        <f t="shared" si="13"/>
        <v/>
      </c>
    </row>
    <row r="879" spans="9:9" x14ac:dyDescent="0.25">
      <c r="I879" s="10" t="str">
        <f t="shared" si="13"/>
        <v/>
      </c>
    </row>
    <row r="880" spans="9:9" x14ac:dyDescent="0.25">
      <c r="I880" s="10" t="str">
        <f t="shared" si="13"/>
        <v/>
      </c>
    </row>
    <row r="881" spans="9:9" x14ac:dyDescent="0.25">
      <c r="I881" s="10" t="str">
        <f t="shared" si="13"/>
        <v/>
      </c>
    </row>
    <row r="882" spans="9:9" x14ac:dyDescent="0.25">
      <c r="I882" s="10" t="str">
        <f t="shared" si="13"/>
        <v/>
      </c>
    </row>
    <row r="883" spans="9:9" x14ac:dyDescent="0.25">
      <c r="I883" s="10" t="str">
        <f t="shared" si="13"/>
        <v/>
      </c>
    </row>
    <row r="884" spans="9:9" x14ac:dyDescent="0.25">
      <c r="I884" s="10" t="str">
        <f t="shared" si="13"/>
        <v/>
      </c>
    </row>
    <row r="885" spans="9:9" x14ac:dyDescent="0.25">
      <c r="I885" s="10" t="str">
        <f t="shared" si="13"/>
        <v/>
      </c>
    </row>
    <row r="886" spans="9:9" x14ac:dyDescent="0.25">
      <c r="I886" s="10" t="str">
        <f t="shared" si="13"/>
        <v/>
      </c>
    </row>
    <row r="887" spans="9:9" x14ac:dyDescent="0.25">
      <c r="I887" s="10" t="str">
        <f t="shared" si="13"/>
        <v/>
      </c>
    </row>
    <row r="888" spans="9:9" x14ac:dyDescent="0.25">
      <c r="I888" s="10" t="str">
        <f t="shared" si="13"/>
        <v/>
      </c>
    </row>
    <row r="889" spans="9:9" x14ac:dyDescent="0.25">
      <c r="I889" s="10" t="str">
        <f t="shared" si="13"/>
        <v/>
      </c>
    </row>
    <row r="890" spans="9:9" x14ac:dyDescent="0.25">
      <c r="I890" s="10" t="str">
        <f t="shared" si="13"/>
        <v/>
      </c>
    </row>
    <row r="891" spans="9:9" x14ac:dyDescent="0.25">
      <c r="I891" s="10" t="str">
        <f t="shared" si="13"/>
        <v/>
      </c>
    </row>
    <row r="892" spans="9:9" x14ac:dyDescent="0.25">
      <c r="I892" s="10" t="str">
        <f t="shared" si="13"/>
        <v/>
      </c>
    </row>
    <row r="893" spans="9:9" x14ac:dyDescent="0.25">
      <c r="I893" s="10" t="str">
        <f t="shared" si="13"/>
        <v/>
      </c>
    </row>
    <row r="894" spans="9:9" x14ac:dyDescent="0.25">
      <c r="I894" s="10" t="str">
        <f t="shared" si="13"/>
        <v/>
      </c>
    </row>
    <row r="895" spans="9:9" x14ac:dyDescent="0.25">
      <c r="I895" s="10" t="str">
        <f t="shared" si="13"/>
        <v/>
      </c>
    </row>
    <row r="896" spans="9:9" x14ac:dyDescent="0.25">
      <c r="I896" s="10" t="str">
        <f t="shared" si="13"/>
        <v/>
      </c>
    </row>
    <row r="897" spans="9:9" x14ac:dyDescent="0.25">
      <c r="I897" s="10" t="str">
        <f t="shared" si="13"/>
        <v/>
      </c>
    </row>
    <row r="898" spans="9:9" x14ac:dyDescent="0.25">
      <c r="I898" s="10" t="str">
        <f t="shared" si="13"/>
        <v/>
      </c>
    </row>
    <row r="899" spans="9:9" x14ac:dyDescent="0.25">
      <c r="I899" s="10" t="str">
        <f t="shared" ref="I899:I962" si="14">IFERROR(DATEVALUE(D899),"")</f>
        <v/>
      </c>
    </row>
    <row r="900" spans="9:9" x14ac:dyDescent="0.25">
      <c r="I900" s="10" t="str">
        <f t="shared" si="14"/>
        <v/>
      </c>
    </row>
    <row r="901" spans="9:9" x14ac:dyDescent="0.25">
      <c r="I901" s="10" t="str">
        <f t="shared" si="14"/>
        <v/>
      </c>
    </row>
    <row r="902" spans="9:9" x14ac:dyDescent="0.25">
      <c r="I902" s="10" t="str">
        <f t="shared" si="14"/>
        <v/>
      </c>
    </row>
    <row r="903" spans="9:9" x14ac:dyDescent="0.25">
      <c r="I903" s="10" t="str">
        <f t="shared" si="14"/>
        <v/>
      </c>
    </row>
    <row r="904" spans="9:9" x14ac:dyDescent="0.25">
      <c r="I904" s="10" t="str">
        <f t="shared" si="14"/>
        <v/>
      </c>
    </row>
    <row r="905" spans="9:9" x14ac:dyDescent="0.25">
      <c r="I905" s="10" t="str">
        <f t="shared" si="14"/>
        <v/>
      </c>
    </row>
    <row r="906" spans="9:9" x14ac:dyDescent="0.25">
      <c r="I906" s="10" t="str">
        <f t="shared" si="14"/>
        <v/>
      </c>
    </row>
    <row r="907" spans="9:9" x14ac:dyDescent="0.25">
      <c r="I907" s="10" t="str">
        <f t="shared" si="14"/>
        <v/>
      </c>
    </row>
    <row r="908" spans="9:9" x14ac:dyDescent="0.25">
      <c r="I908" s="10" t="str">
        <f t="shared" si="14"/>
        <v/>
      </c>
    </row>
    <row r="909" spans="9:9" x14ac:dyDescent="0.25">
      <c r="I909" s="10" t="str">
        <f t="shared" si="14"/>
        <v/>
      </c>
    </row>
    <row r="910" spans="9:9" x14ac:dyDescent="0.25">
      <c r="I910" s="10" t="str">
        <f t="shared" si="14"/>
        <v/>
      </c>
    </row>
    <row r="911" spans="9:9" x14ac:dyDescent="0.25">
      <c r="I911" s="10" t="str">
        <f t="shared" si="14"/>
        <v/>
      </c>
    </row>
    <row r="912" spans="9:9" x14ac:dyDescent="0.25">
      <c r="I912" s="10" t="str">
        <f t="shared" si="14"/>
        <v/>
      </c>
    </row>
    <row r="913" spans="9:9" x14ac:dyDescent="0.25">
      <c r="I913" s="10" t="str">
        <f t="shared" si="14"/>
        <v/>
      </c>
    </row>
    <row r="914" spans="9:9" x14ac:dyDescent="0.25">
      <c r="I914" s="10" t="str">
        <f t="shared" si="14"/>
        <v/>
      </c>
    </row>
    <row r="915" spans="9:9" x14ac:dyDescent="0.25">
      <c r="I915" s="10" t="str">
        <f t="shared" si="14"/>
        <v/>
      </c>
    </row>
    <row r="916" spans="9:9" x14ac:dyDescent="0.25">
      <c r="I916" s="10" t="str">
        <f t="shared" si="14"/>
        <v/>
      </c>
    </row>
    <row r="917" spans="9:9" x14ac:dyDescent="0.25">
      <c r="I917" s="10" t="str">
        <f t="shared" si="14"/>
        <v/>
      </c>
    </row>
    <row r="918" spans="9:9" x14ac:dyDescent="0.25">
      <c r="I918" s="10" t="str">
        <f t="shared" si="14"/>
        <v/>
      </c>
    </row>
    <row r="919" spans="9:9" x14ac:dyDescent="0.25">
      <c r="I919" s="10" t="str">
        <f t="shared" si="14"/>
        <v/>
      </c>
    </row>
    <row r="920" spans="9:9" x14ac:dyDescent="0.25">
      <c r="I920" s="10" t="str">
        <f t="shared" si="14"/>
        <v/>
      </c>
    </row>
    <row r="921" spans="9:9" x14ac:dyDescent="0.25">
      <c r="I921" s="10" t="str">
        <f t="shared" si="14"/>
        <v/>
      </c>
    </row>
    <row r="922" spans="9:9" x14ac:dyDescent="0.25">
      <c r="I922" s="10" t="str">
        <f t="shared" si="14"/>
        <v/>
      </c>
    </row>
    <row r="923" spans="9:9" x14ac:dyDescent="0.25">
      <c r="I923" s="10" t="str">
        <f t="shared" si="14"/>
        <v/>
      </c>
    </row>
    <row r="924" spans="9:9" x14ac:dyDescent="0.25">
      <c r="I924" s="10" t="str">
        <f t="shared" si="14"/>
        <v/>
      </c>
    </row>
    <row r="925" spans="9:9" x14ac:dyDescent="0.25">
      <c r="I925" s="10" t="str">
        <f t="shared" si="14"/>
        <v/>
      </c>
    </row>
    <row r="926" spans="9:9" x14ac:dyDescent="0.25">
      <c r="I926" s="10" t="str">
        <f t="shared" si="14"/>
        <v/>
      </c>
    </row>
    <row r="927" spans="9:9" x14ac:dyDescent="0.25">
      <c r="I927" s="10" t="str">
        <f t="shared" si="14"/>
        <v/>
      </c>
    </row>
    <row r="928" spans="9:9" x14ac:dyDescent="0.25">
      <c r="I928" s="10" t="str">
        <f t="shared" si="14"/>
        <v/>
      </c>
    </row>
    <row r="929" spans="9:9" x14ac:dyDescent="0.25">
      <c r="I929" s="10" t="str">
        <f t="shared" si="14"/>
        <v/>
      </c>
    </row>
    <row r="930" spans="9:9" x14ac:dyDescent="0.25">
      <c r="I930" s="10" t="str">
        <f t="shared" si="14"/>
        <v/>
      </c>
    </row>
    <row r="931" spans="9:9" x14ac:dyDescent="0.25">
      <c r="I931" s="10" t="str">
        <f t="shared" si="14"/>
        <v/>
      </c>
    </row>
    <row r="932" spans="9:9" x14ac:dyDescent="0.25">
      <c r="I932" s="10" t="str">
        <f t="shared" si="14"/>
        <v/>
      </c>
    </row>
    <row r="933" spans="9:9" x14ac:dyDescent="0.25">
      <c r="I933" s="10" t="str">
        <f t="shared" si="14"/>
        <v/>
      </c>
    </row>
    <row r="934" spans="9:9" x14ac:dyDescent="0.25">
      <c r="I934" s="10" t="str">
        <f t="shared" si="14"/>
        <v/>
      </c>
    </row>
    <row r="935" spans="9:9" x14ac:dyDescent="0.25">
      <c r="I935" s="10" t="str">
        <f t="shared" si="14"/>
        <v/>
      </c>
    </row>
    <row r="936" spans="9:9" x14ac:dyDescent="0.25">
      <c r="I936" s="10" t="str">
        <f t="shared" si="14"/>
        <v/>
      </c>
    </row>
    <row r="937" spans="9:9" x14ac:dyDescent="0.25">
      <c r="I937" s="10" t="str">
        <f t="shared" si="14"/>
        <v/>
      </c>
    </row>
    <row r="938" spans="9:9" x14ac:dyDescent="0.25">
      <c r="I938" s="10" t="str">
        <f t="shared" si="14"/>
        <v/>
      </c>
    </row>
    <row r="939" spans="9:9" x14ac:dyDescent="0.25">
      <c r="I939" s="10" t="str">
        <f t="shared" si="14"/>
        <v/>
      </c>
    </row>
    <row r="940" spans="9:9" x14ac:dyDescent="0.25">
      <c r="I940" s="10" t="str">
        <f t="shared" si="14"/>
        <v/>
      </c>
    </row>
    <row r="941" spans="9:9" x14ac:dyDescent="0.25">
      <c r="I941" s="10" t="str">
        <f t="shared" si="14"/>
        <v/>
      </c>
    </row>
    <row r="942" spans="9:9" x14ac:dyDescent="0.25">
      <c r="I942" s="10" t="str">
        <f t="shared" si="14"/>
        <v/>
      </c>
    </row>
    <row r="943" spans="9:9" x14ac:dyDescent="0.25">
      <c r="I943" s="10" t="str">
        <f t="shared" si="14"/>
        <v/>
      </c>
    </row>
    <row r="944" spans="9:9" x14ac:dyDescent="0.25">
      <c r="I944" s="10" t="str">
        <f t="shared" si="14"/>
        <v/>
      </c>
    </row>
    <row r="945" spans="9:9" x14ac:dyDescent="0.25">
      <c r="I945" s="10" t="str">
        <f t="shared" si="14"/>
        <v/>
      </c>
    </row>
    <row r="946" spans="9:9" x14ac:dyDescent="0.25">
      <c r="I946" s="10" t="str">
        <f t="shared" si="14"/>
        <v/>
      </c>
    </row>
    <row r="947" spans="9:9" x14ac:dyDescent="0.25">
      <c r="I947" s="10" t="str">
        <f t="shared" si="14"/>
        <v/>
      </c>
    </row>
    <row r="948" spans="9:9" x14ac:dyDescent="0.25">
      <c r="I948" s="10" t="str">
        <f t="shared" si="14"/>
        <v/>
      </c>
    </row>
    <row r="949" spans="9:9" x14ac:dyDescent="0.25">
      <c r="I949" s="10" t="str">
        <f t="shared" si="14"/>
        <v/>
      </c>
    </row>
    <row r="950" spans="9:9" x14ac:dyDescent="0.25">
      <c r="I950" s="10" t="str">
        <f t="shared" si="14"/>
        <v/>
      </c>
    </row>
    <row r="951" spans="9:9" x14ac:dyDescent="0.25">
      <c r="I951" s="10" t="str">
        <f t="shared" si="14"/>
        <v/>
      </c>
    </row>
    <row r="952" spans="9:9" x14ac:dyDescent="0.25">
      <c r="I952" s="10" t="str">
        <f t="shared" si="14"/>
        <v/>
      </c>
    </row>
    <row r="953" spans="9:9" x14ac:dyDescent="0.25">
      <c r="I953" s="10" t="str">
        <f t="shared" si="14"/>
        <v/>
      </c>
    </row>
    <row r="954" spans="9:9" x14ac:dyDescent="0.25">
      <c r="I954" s="10" t="str">
        <f t="shared" si="14"/>
        <v/>
      </c>
    </row>
    <row r="955" spans="9:9" x14ac:dyDescent="0.25">
      <c r="I955" s="10" t="str">
        <f t="shared" si="14"/>
        <v/>
      </c>
    </row>
    <row r="956" spans="9:9" x14ac:dyDescent="0.25">
      <c r="I956" s="10" t="str">
        <f t="shared" si="14"/>
        <v/>
      </c>
    </row>
    <row r="957" spans="9:9" x14ac:dyDescent="0.25">
      <c r="I957" s="10" t="str">
        <f t="shared" si="14"/>
        <v/>
      </c>
    </row>
    <row r="958" spans="9:9" x14ac:dyDescent="0.25">
      <c r="I958" s="10" t="str">
        <f t="shared" si="14"/>
        <v/>
      </c>
    </row>
    <row r="959" spans="9:9" x14ac:dyDescent="0.25">
      <c r="I959" s="10" t="str">
        <f t="shared" si="14"/>
        <v/>
      </c>
    </row>
    <row r="960" spans="9:9" x14ac:dyDescent="0.25">
      <c r="I960" s="10" t="str">
        <f t="shared" si="14"/>
        <v/>
      </c>
    </row>
    <row r="961" spans="9:9" x14ac:dyDescent="0.25">
      <c r="I961" s="10" t="str">
        <f t="shared" si="14"/>
        <v/>
      </c>
    </row>
    <row r="962" spans="9:9" x14ac:dyDescent="0.25">
      <c r="I962" s="10" t="str">
        <f t="shared" si="14"/>
        <v/>
      </c>
    </row>
    <row r="963" spans="9:9" x14ac:dyDescent="0.25">
      <c r="I963" s="10" t="str">
        <f t="shared" ref="I963:I1026" si="15">IFERROR(DATEVALUE(D963),"")</f>
        <v/>
      </c>
    </row>
    <row r="964" spans="9:9" x14ac:dyDescent="0.25">
      <c r="I964" s="10" t="str">
        <f t="shared" si="15"/>
        <v/>
      </c>
    </row>
    <row r="965" spans="9:9" x14ac:dyDescent="0.25">
      <c r="I965" s="10" t="str">
        <f t="shared" si="15"/>
        <v/>
      </c>
    </row>
    <row r="966" spans="9:9" x14ac:dyDescent="0.25">
      <c r="I966" s="10" t="str">
        <f t="shared" si="15"/>
        <v/>
      </c>
    </row>
    <row r="967" spans="9:9" x14ac:dyDescent="0.25">
      <c r="I967" s="10" t="str">
        <f t="shared" si="15"/>
        <v/>
      </c>
    </row>
    <row r="968" spans="9:9" x14ac:dyDescent="0.25">
      <c r="I968" s="10" t="str">
        <f t="shared" si="15"/>
        <v/>
      </c>
    </row>
    <row r="969" spans="9:9" x14ac:dyDescent="0.25">
      <c r="I969" s="10" t="str">
        <f t="shared" si="15"/>
        <v/>
      </c>
    </row>
    <row r="970" spans="9:9" x14ac:dyDescent="0.25">
      <c r="I970" s="10" t="str">
        <f t="shared" si="15"/>
        <v/>
      </c>
    </row>
    <row r="971" spans="9:9" x14ac:dyDescent="0.25">
      <c r="I971" s="10" t="str">
        <f t="shared" si="15"/>
        <v/>
      </c>
    </row>
    <row r="972" spans="9:9" x14ac:dyDescent="0.25">
      <c r="I972" s="10" t="str">
        <f t="shared" si="15"/>
        <v/>
      </c>
    </row>
    <row r="973" spans="9:9" x14ac:dyDescent="0.25">
      <c r="I973" s="10" t="str">
        <f t="shared" si="15"/>
        <v/>
      </c>
    </row>
    <row r="974" spans="9:9" x14ac:dyDescent="0.25">
      <c r="I974" s="10" t="str">
        <f t="shared" si="15"/>
        <v/>
      </c>
    </row>
    <row r="975" spans="9:9" x14ac:dyDescent="0.25">
      <c r="I975" s="10" t="str">
        <f t="shared" si="15"/>
        <v/>
      </c>
    </row>
    <row r="976" spans="9:9" x14ac:dyDescent="0.25">
      <c r="I976" s="10" t="str">
        <f t="shared" si="15"/>
        <v/>
      </c>
    </row>
    <row r="977" spans="9:9" x14ac:dyDescent="0.25">
      <c r="I977" s="10" t="str">
        <f t="shared" si="15"/>
        <v/>
      </c>
    </row>
    <row r="978" spans="9:9" x14ac:dyDescent="0.25">
      <c r="I978" s="10" t="str">
        <f t="shared" si="15"/>
        <v/>
      </c>
    </row>
    <row r="979" spans="9:9" x14ac:dyDescent="0.25">
      <c r="I979" s="10" t="str">
        <f t="shared" si="15"/>
        <v/>
      </c>
    </row>
    <row r="980" spans="9:9" x14ac:dyDescent="0.25">
      <c r="I980" s="10" t="str">
        <f t="shared" si="15"/>
        <v/>
      </c>
    </row>
    <row r="981" spans="9:9" x14ac:dyDescent="0.25">
      <c r="I981" s="10" t="str">
        <f t="shared" si="15"/>
        <v/>
      </c>
    </row>
    <row r="982" spans="9:9" x14ac:dyDescent="0.25">
      <c r="I982" s="10" t="str">
        <f t="shared" si="15"/>
        <v/>
      </c>
    </row>
    <row r="983" spans="9:9" x14ac:dyDescent="0.25">
      <c r="I983" s="10" t="str">
        <f t="shared" si="15"/>
        <v/>
      </c>
    </row>
    <row r="984" spans="9:9" x14ac:dyDescent="0.25">
      <c r="I984" s="10" t="str">
        <f t="shared" si="15"/>
        <v/>
      </c>
    </row>
    <row r="985" spans="9:9" x14ac:dyDescent="0.25">
      <c r="I985" s="10" t="str">
        <f t="shared" si="15"/>
        <v/>
      </c>
    </row>
    <row r="986" spans="9:9" x14ac:dyDescent="0.25">
      <c r="I986" s="10" t="str">
        <f t="shared" si="15"/>
        <v/>
      </c>
    </row>
    <row r="987" spans="9:9" x14ac:dyDescent="0.25">
      <c r="I987" s="10" t="str">
        <f t="shared" si="15"/>
        <v/>
      </c>
    </row>
    <row r="988" spans="9:9" x14ac:dyDescent="0.25">
      <c r="I988" s="10" t="str">
        <f t="shared" si="15"/>
        <v/>
      </c>
    </row>
    <row r="989" spans="9:9" x14ac:dyDescent="0.25">
      <c r="I989" s="10" t="str">
        <f t="shared" si="15"/>
        <v/>
      </c>
    </row>
    <row r="990" spans="9:9" x14ac:dyDescent="0.25">
      <c r="I990" s="10" t="str">
        <f t="shared" si="15"/>
        <v/>
      </c>
    </row>
    <row r="991" spans="9:9" x14ac:dyDescent="0.25">
      <c r="I991" s="10" t="str">
        <f t="shared" si="15"/>
        <v/>
      </c>
    </row>
    <row r="992" spans="9:9" x14ac:dyDescent="0.25">
      <c r="I992" s="10" t="str">
        <f t="shared" si="15"/>
        <v/>
      </c>
    </row>
    <row r="993" spans="9:9" x14ac:dyDescent="0.25">
      <c r="I993" s="10" t="str">
        <f t="shared" si="15"/>
        <v/>
      </c>
    </row>
    <row r="994" spans="9:9" x14ac:dyDescent="0.25">
      <c r="I994" s="10" t="str">
        <f t="shared" si="15"/>
        <v/>
      </c>
    </row>
    <row r="995" spans="9:9" x14ac:dyDescent="0.25">
      <c r="I995" s="10" t="str">
        <f t="shared" si="15"/>
        <v/>
      </c>
    </row>
    <row r="996" spans="9:9" x14ac:dyDescent="0.25">
      <c r="I996" s="10" t="str">
        <f t="shared" si="15"/>
        <v/>
      </c>
    </row>
    <row r="997" spans="9:9" x14ac:dyDescent="0.25">
      <c r="I997" s="10" t="str">
        <f t="shared" si="15"/>
        <v/>
      </c>
    </row>
    <row r="998" spans="9:9" x14ac:dyDescent="0.25">
      <c r="I998" s="10" t="str">
        <f t="shared" si="15"/>
        <v/>
      </c>
    </row>
    <row r="999" spans="9:9" x14ac:dyDescent="0.25">
      <c r="I999" s="10" t="str">
        <f t="shared" si="15"/>
        <v/>
      </c>
    </row>
    <row r="1000" spans="9:9" x14ac:dyDescent="0.25">
      <c r="I1000" s="10" t="str">
        <f t="shared" si="15"/>
        <v/>
      </c>
    </row>
    <row r="1001" spans="9:9" x14ac:dyDescent="0.25">
      <c r="I1001" s="10" t="str">
        <f t="shared" si="15"/>
        <v/>
      </c>
    </row>
    <row r="1002" spans="9:9" x14ac:dyDescent="0.25">
      <c r="I1002" s="10" t="str">
        <f t="shared" si="15"/>
        <v/>
      </c>
    </row>
    <row r="1003" spans="9:9" x14ac:dyDescent="0.25">
      <c r="I1003" s="10" t="str">
        <f t="shared" si="15"/>
        <v/>
      </c>
    </row>
    <row r="1004" spans="9:9" x14ac:dyDescent="0.25">
      <c r="I1004" s="10" t="str">
        <f t="shared" si="15"/>
        <v/>
      </c>
    </row>
    <row r="1005" spans="9:9" x14ac:dyDescent="0.25">
      <c r="I1005" s="10" t="str">
        <f t="shared" si="15"/>
        <v/>
      </c>
    </row>
    <row r="1006" spans="9:9" x14ac:dyDescent="0.25">
      <c r="I1006" s="10" t="str">
        <f t="shared" si="15"/>
        <v/>
      </c>
    </row>
    <row r="1007" spans="9:9" x14ac:dyDescent="0.25">
      <c r="I1007" s="10" t="str">
        <f t="shared" si="15"/>
        <v/>
      </c>
    </row>
    <row r="1008" spans="9:9" x14ac:dyDescent="0.25">
      <c r="I1008" s="10" t="str">
        <f t="shared" si="15"/>
        <v/>
      </c>
    </row>
    <row r="1009" spans="9:9" x14ac:dyDescent="0.25">
      <c r="I1009" s="10" t="str">
        <f t="shared" si="15"/>
        <v/>
      </c>
    </row>
    <row r="1010" spans="9:9" x14ac:dyDescent="0.25">
      <c r="I1010" s="10" t="str">
        <f t="shared" si="15"/>
        <v/>
      </c>
    </row>
    <row r="1011" spans="9:9" x14ac:dyDescent="0.25">
      <c r="I1011" s="10" t="str">
        <f t="shared" si="15"/>
        <v/>
      </c>
    </row>
    <row r="1012" spans="9:9" x14ac:dyDescent="0.25">
      <c r="I1012" s="10" t="str">
        <f t="shared" si="15"/>
        <v/>
      </c>
    </row>
    <row r="1013" spans="9:9" x14ac:dyDescent="0.25">
      <c r="I1013" s="10" t="str">
        <f t="shared" si="15"/>
        <v/>
      </c>
    </row>
    <row r="1014" spans="9:9" x14ac:dyDescent="0.25">
      <c r="I1014" s="10" t="str">
        <f t="shared" si="15"/>
        <v/>
      </c>
    </row>
    <row r="1015" spans="9:9" x14ac:dyDescent="0.25">
      <c r="I1015" s="10" t="str">
        <f t="shared" si="15"/>
        <v/>
      </c>
    </row>
    <row r="1016" spans="9:9" x14ac:dyDescent="0.25">
      <c r="I1016" s="10" t="str">
        <f t="shared" si="15"/>
        <v/>
      </c>
    </row>
    <row r="1017" spans="9:9" x14ac:dyDescent="0.25">
      <c r="I1017" s="10" t="str">
        <f t="shared" si="15"/>
        <v/>
      </c>
    </row>
    <row r="1018" spans="9:9" x14ac:dyDescent="0.25">
      <c r="I1018" s="10" t="str">
        <f t="shared" si="15"/>
        <v/>
      </c>
    </row>
    <row r="1019" spans="9:9" x14ac:dyDescent="0.25">
      <c r="I1019" s="10" t="str">
        <f t="shared" si="15"/>
        <v/>
      </c>
    </row>
    <row r="1020" spans="9:9" x14ac:dyDescent="0.25">
      <c r="I1020" s="10" t="str">
        <f t="shared" si="15"/>
        <v/>
      </c>
    </row>
    <row r="1021" spans="9:9" x14ac:dyDescent="0.25">
      <c r="I1021" s="10" t="str">
        <f t="shared" si="15"/>
        <v/>
      </c>
    </row>
    <row r="1022" spans="9:9" x14ac:dyDescent="0.25">
      <c r="I1022" s="10" t="str">
        <f t="shared" si="15"/>
        <v/>
      </c>
    </row>
    <row r="1023" spans="9:9" x14ac:dyDescent="0.25">
      <c r="I1023" s="10" t="str">
        <f t="shared" si="15"/>
        <v/>
      </c>
    </row>
    <row r="1024" spans="9:9" x14ac:dyDescent="0.25">
      <c r="I1024" s="10" t="str">
        <f t="shared" si="15"/>
        <v/>
      </c>
    </row>
    <row r="1025" spans="9:9" x14ac:dyDescent="0.25">
      <c r="I1025" s="10" t="str">
        <f t="shared" si="15"/>
        <v/>
      </c>
    </row>
    <row r="1026" spans="9:9" x14ac:dyDescent="0.25">
      <c r="I1026" s="10" t="str">
        <f t="shared" si="15"/>
        <v/>
      </c>
    </row>
    <row r="1027" spans="9:9" x14ac:dyDescent="0.25">
      <c r="I1027" s="10" t="str">
        <f t="shared" ref="I1027:I1090" si="16">IFERROR(DATEVALUE(D1027),"")</f>
        <v/>
      </c>
    </row>
    <row r="1028" spans="9:9" x14ac:dyDescent="0.25">
      <c r="I1028" s="10" t="str">
        <f t="shared" si="16"/>
        <v/>
      </c>
    </row>
    <row r="1029" spans="9:9" x14ac:dyDescent="0.25">
      <c r="I1029" s="10" t="str">
        <f t="shared" si="16"/>
        <v/>
      </c>
    </row>
    <row r="1030" spans="9:9" x14ac:dyDescent="0.25">
      <c r="I1030" s="10" t="str">
        <f t="shared" si="16"/>
        <v/>
      </c>
    </row>
    <row r="1031" spans="9:9" x14ac:dyDescent="0.25">
      <c r="I1031" s="10" t="str">
        <f t="shared" si="16"/>
        <v/>
      </c>
    </row>
    <row r="1032" spans="9:9" x14ac:dyDescent="0.25">
      <c r="I1032" s="10" t="str">
        <f t="shared" si="16"/>
        <v/>
      </c>
    </row>
    <row r="1033" spans="9:9" x14ac:dyDescent="0.25">
      <c r="I1033" s="10" t="str">
        <f t="shared" si="16"/>
        <v/>
      </c>
    </row>
    <row r="1034" spans="9:9" x14ac:dyDescent="0.25">
      <c r="I1034" s="10" t="str">
        <f t="shared" si="16"/>
        <v/>
      </c>
    </row>
    <row r="1035" spans="9:9" x14ac:dyDescent="0.25">
      <c r="I1035" s="10" t="str">
        <f t="shared" si="16"/>
        <v/>
      </c>
    </row>
    <row r="1036" spans="9:9" x14ac:dyDescent="0.25">
      <c r="I1036" s="10" t="str">
        <f t="shared" si="16"/>
        <v/>
      </c>
    </row>
    <row r="1037" spans="9:9" x14ac:dyDescent="0.25">
      <c r="I1037" s="10" t="str">
        <f t="shared" si="16"/>
        <v/>
      </c>
    </row>
    <row r="1038" spans="9:9" x14ac:dyDescent="0.25">
      <c r="I1038" s="10" t="str">
        <f t="shared" si="16"/>
        <v/>
      </c>
    </row>
    <row r="1039" spans="9:9" x14ac:dyDescent="0.25">
      <c r="I1039" s="10" t="str">
        <f t="shared" si="16"/>
        <v/>
      </c>
    </row>
    <row r="1040" spans="9:9" x14ac:dyDescent="0.25">
      <c r="I1040" s="10" t="str">
        <f t="shared" si="16"/>
        <v/>
      </c>
    </row>
    <row r="1041" spans="9:9" x14ac:dyDescent="0.25">
      <c r="I1041" s="10" t="str">
        <f t="shared" si="16"/>
        <v/>
      </c>
    </row>
    <row r="1042" spans="9:9" x14ac:dyDescent="0.25">
      <c r="I1042" s="10" t="str">
        <f t="shared" si="16"/>
        <v/>
      </c>
    </row>
    <row r="1043" spans="9:9" x14ac:dyDescent="0.25">
      <c r="I1043" s="10" t="str">
        <f t="shared" si="16"/>
        <v/>
      </c>
    </row>
    <row r="1044" spans="9:9" x14ac:dyDescent="0.25">
      <c r="I1044" s="10" t="str">
        <f t="shared" si="16"/>
        <v/>
      </c>
    </row>
    <row r="1045" spans="9:9" x14ac:dyDescent="0.25">
      <c r="I1045" s="10" t="str">
        <f t="shared" si="16"/>
        <v/>
      </c>
    </row>
    <row r="1046" spans="9:9" x14ac:dyDescent="0.25">
      <c r="I1046" s="10" t="str">
        <f t="shared" si="16"/>
        <v/>
      </c>
    </row>
    <row r="1047" spans="9:9" x14ac:dyDescent="0.25">
      <c r="I1047" s="10" t="str">
        <f t="shared" si="16"/>
        <v/>
      </c>
    </row>
    <row r="1048" spans="9:9" x14ac:dyDescent="0.25">
      <c r="I1048" s="10" t="str">
        <f t="shared" si="16"/>
        <v/>
      </c>
    </row>
    <row r="1049" spans="9:9" x14ac:dyDescent="0.25">
      <c r="I1049" s="10" t="str">
        <f t="shared" si="16"/>
        <v/>
      </c>
    </row>
    <row r="1050" spans="9:9" x14ac:dyDescent="0.25">
      <c r="I1050" s="10" t="str">
        <f t="shared" si="16"/>
        <v/>
      </c>
    </row>
    <row r="1051" spans="9:9" x14ac:dyDescent="0.25">
      <c r="I1051" s="10" t="str">
        <f t="shared" si="16"/>
        <v/>
      </c>
    </row>
    <row r="1052" spans="9:9" x14ac:dyDescent="0.25">
      <c r="I1052" s="10" t="str">
        <f t="shared" si="16"/>
        <v/>
      </c>
    </row>
    <row r="1053" spans="9:9" x14ac:dyDescent="0.25">
      <c r="I1053" s="10" t="str">
        <f t="shared" si="16"/>
        <v/>
      </c>
    </row>
    <row r="1054" spans="9:9" x14ac:dyDescent="0.25">
      <c r="I1054" s="10" t="str">
        <f t="shared" si="16"/>
        <v/>
      </c>
    </row>
    <row r="1055" spans="9:9" x14ac:dyDescent="0.25">
      <c r="I1055" s="10" t="str">
        <f t="shared" si="16"/>
        <v/>
      </c>
    </row>
    <row r="1056" spans="9:9" x14ac:dyDescent="0.25">
      <c r="I1056" s="10" t="str">
        <f t="shared" si="16"/>
        <v/>
      </c>
    </row>
    <row r="1057" spans="9:9" x14ac:dyDescent="0.25">
      <c r="I1057" s="10" t="str">
        <f t="shared" si="16"/>
        <v/>
      </c>
    </row>
    <row r="1058" spans="9:9" x14ac:dyDescent="0.25">
      <c r="I1058" s="10" t="str">
        <f t="shared" si="16"/>
        <v/>
      </c>
    </row>
    <row r="1059" spans="9:9" x14ac:dyDescent="0.25">
      <c r="I1059" s="10" t="str">
        <f t="shared" si="16"/>
        <v/>
      </c>
    </row>
    <row r="1060" spans="9:9" x14ac:dyDescent="0.25">
      <c r="I1060" s="10" t="str">
        <f t="shared" si="16"/>
        <v/>
      </c>
    </row>
    <row r="1061" spans="9:9" x14ac:dyDescent="0.25">
      <c r="I1061" s="10" t="str">
        <f t="shared" si="16"/>
        <v/>
      </c>
    </row>
    <row r="1062" spans="9:9" x14ac:dyDescent="0.25">
      <c r="I1062" s="10" t="str">
        <f t="shared" si="16"/>
        <v/>
      </c>
    </row>
    <row r="1063" spans="9:9" x14ac:dyDescent="0.25">
      <c r="I1063" s="10" t="str">
        <f t="shared" si="16"/>
        <v/>
      </c>
    </row>
    <row r="1064" spans="9:9" x14ac:dyDescent="0.25">
      <c r="I1064" s="10" t="str">
        <f t="shared" si="16"/>
        <v/>
      </c>
    </row>
    <row r="1065" spans="9:9" x14ac:dyDescent="0.25">
      <c r="I1065" s="10" t="str">
        <f t="shared" si="16"/>
        <v/>
      </c>
    </row>
    <row r="1066" spans="9:9" x14ac:dyDescent="0.25">
      <c r="I1066" s="10" t="str">
        <f t="shared" si="16"/>
        <v/>
      </c>
    </row>
    <row r="1067" spans="9:9" x14ac:dyDescent="0.25">
      <c r="I1067" s="10" t="str">
        <f t="shared" si="16"/>
        <v/>
      </c>
    </row>
    <row r="1068" spans="9:9" x14ac:dyDescent="0.25">
      <c r="I1068" s="10" t="str">
        <f t="shared" si="16"/>
        <v/>
      </c>
    </row>
    <row r="1069" spans="9:9" x14ac:dyDescent="0.25">
      <c r="I1069" s="10" t="str">
        <f t="shared" si="16"/>
        <v/>
      </c>
    </row>
    <row r="1070" spans="9:9" x14ac:dyDescent="0.25">
      <c r="I1070" s="10" t="str">
        <f t="shared" si="16"/>
        <v/>
      </c>
    </row>
    <row r="1071" spans="9:9" x14ac:dyDescent="0.25">
      <c r="I1071" s="10" t="str">
        <f t="shared" si="16"/>
        <v/>
      </c>
    </row>
    <row r="1072" spans="9:9" x14ac:dyDescent="0.25">
      <c r="I1072" s="10" t="str">
        <f t="shared" si="16"/>
        <v/>
      </c>
    </row>
    <row r="1073" spans="9:9" x14ac:dyDescent="0.25">
      <c r="I1073" s="10" t="str">
        <f t="shared" si="16"/>
        <v/>
      </c>
    </row>
    <row r="1074" spans="9:9" x14ac:dyDescent="0.25">
      <c r="I1074" s="10" t="str">
        <f t="shared" si="16"/>
        <v/>
      </c>
    </row>
    <row r="1075" spans="9:9" x14ac:dyDescent="0.25">
      <c r="I1075" s="10" t="str">
        <f t="shared" si="16"/>
        <v/>
      </c>
    </row>
    <row r="1076" spans="9:9" x14ac:dyDescent="0.25">
      <c r="I1076" s="10" t="str">
        <f t="shared" si="16"/>
        <v/>
      </c>
    </row>
    <row r="1077" spans="9:9" x14ac:dyDescent="0.25">
      <c r="I1077" s="10" t="str">
        <f t="shared" si="16"/>
        <v/>
      </c>
    </row>
    <row r="1078" spans="9:9" x14ac:dyDescent="0.25">
      <c r="I1078" s="10" t="str">
        <f t="shared" si="16"/>
        <v/>
      </c>
    </row>
    <row r="1079" spans="9:9" x14ac:dyDescent="0.25">
      <c r="I1079" s="10" t="str">
        <f t="shared" si="16"/>
        <v/>
      </c>
    </row>
    <row r="1080" spans="9:9" x14ac:dyDescent="0.25">
      <c r="I1080" s="10" t="str">
        <f t="shared" si="16"/>
        <v/>
      </c>
    </row>
    <row r="1081" spans="9:9" x14ac:dyDescent="0.25">
      <c r="I1081" s="10" t="str">
        <f t="shared" si="16"/>
        <v/>
      </c>
    </row>
    <row r="1082" spans="9:9" x14ac:dyDescent="0.25">
      <c r="I1082" s="10" t="str">
        <f t="shared" si="16"/>
        <v/>
      </c>
    </row>
    <row r="1083" spans="9:9" x14ac:dyDescent="0.25">
      <c r="I1083" s="10" t="str">
        <f t="shared" si="16"/>
        <v/>
      </c>
    </row>
    <row r="1084" spans="9:9" x14ac:dyDescent="0.25">
      <c r="I1084" s="10" t="str">
        <f t="shared" si="16"/>
        <v/>
      </c>
    </row>
    <row r="1085" spans="9:9" x14ac:dyDescent="0.25">
      <c r="I1085" s="10" t="str">
        <f t="shared" si="16"/>
        <v/>
      </c>
    </row>
    <row r="1086" spans="9:9" x14ac:dyDescent="0.25">
      <c r="I1086" s="10" t="str">
        <f t="shared" si="16"/>
        <v/>
      </c>
    </row>
    <row r="1087" spans="9:9" x14ac:dyDescent="0.25">
      <c r="I1087" s="10" t="str">
        <f t="shared" si="16"/>
        <v/>
      </c>
    </row>
    <row r="1088" spans="9:9" x14ac:dyDescent="0.25">
      <c r="I1088" s="10" t="str">
        <f t="shared" si="16"/>
        <v/>
      </c>
    </row>
    <row r="1089" spans="9:9" x14ac:dyDescent="0.25">
      <c r="I1089" s="10" t="str">
        <f t="shared" si="16"/>
        <v/>
      </c>
    </row>
    <row r="1090" spans="9:9" x14ac:dyDescent="0.25">
      <c r="I1090" s="10" t="str">
        <f t="shared" si="16"/>
        <v/>
      </c>
    </row>
    <row r="1091" spans="9:9" x14ac:dyDescent="0.25">
      <c r="I1091" s="10" t="str">
        <f t="shared" ref="I1091:I1154" si="17">IFERROR(DATEVALUE(D1091),"")</f>
        <v/>
      </c>
    </row>
    <row r="1092" spans="9:9" x14ac:dyDescent="0.25">
      <c r="I1092" s="10" t="str">
        <f t="shared" si="17"/>
        <v/>
      </c>
    </row>
    <row r="1093" spans="9:9" x14ac:dyDescent="0.25">
      <c r="I1093" s="10" t="str">
        <f t="shared" si="17"/>
        <v/>
      </c>
    </row>
    <row r="1094" spans="9:9" x14ac:dyDescent="0.25">
      <c r="I1094" s="10" t="str">
        <f t="shared" si="17"/>
        <v/>
      </c>
    </row>
    <row r="1095" spans="9:9" x14ac:dyDescent="0.25">
      <c r="I1095" s="10" t="str">
        <f t="shared" si="17"/>
        <v/>
      </c>
    </row>
    <row r="1096" spans="9:9" x14ac:dyDescent="0.25">
      <c r="I1096" s="10" t="str">
        <f t="shared" si="17"/>
        <v/>
      </c>
    </row>
    <row r="1097" spans="9:9" x14ac:dyDescent="0.25">
      <c r="I1097" s="10" t="str">
        <f t="shared" si="17"/>
        <v/>
      </c>
    </row>
    <row r="1098" spans="9:9" x14ac:dyDescent="0.25">
      <c r="I1098" s="10" t="str">
        <f t="shared" si="17"/>
        <v/>
      </c>
    </row>
    <row r="1099" spans="9:9" x14ac:dyDescent="0.25">
      <c r="I1099" s="10" t="str">
        <f t="shared" si="17"/>
        <v/>
      </c>
    </row>
    <row r="1100" spans="9:9" x14ac:dyDescent="0.25">
      <c r="I1100" s="10" t="str">
        <f t="shared" si="17"/>
        <v/>
      </c>
    </row>
    <row r="1101" spans="9:9" x14ac:dyDescent="0.25">
      <c r="I1101" s="10" t="str">
        <f t="shared" si="17"/>
        <v/>
      </c>
    </row>
    <row r="1102" spans="9:9" x14ac:dyDescent="0.25">
      <c r="I1102" s="10" t="str">
        <f t="shared" si="17"/>
        <v/>
      </c>
    </row>
    <row r="1103" spans="9:9" x14ac:dyDescent="0.25">
      <c r="I1103" s="10" t="str">
        <f t="shared" si="17"/>
        <v/>
      </c>
    </row>
    <row r="1104" spans="9:9" x14ac:dyDescent="0.25">
      <c r="I1104" s="10" t="str">
        <f t="shared" si="17"/>
        <v/>
      </c>
    </row>
    <row r="1105" spans="9:9" x14ac:dyDescent="0.25">
      <c r="I1105" s="10" t="str">
        <f t="shared" si="17"/>
        <v/>
      </c>
    </row>
    <row r="1106" spans="9:9" x14ac:dyDescent="0.25">
      <c r="I1106" s="10" t="str">
        <f t="shared" si="17"/>
        <v/>
      </c>
    </row>
    <row r="1107" spans="9:9" x14ac:dyDescent="0.25">
      <c r="I1107" s="10" t="str">
        <f t="shared" si="17"/>
        <v/>
      </c>
    </row>
    <row r="1108" spans="9:9" x14ac:dyDescent="0.25">
      <c r="I1108" s="10" t="str">
        <f t="shared" si="17"/>
        <v/>
      </c>
    </row>
    <row r="1109" spans="9:9" x14ac:dyDescent="0.25">
      <c r="I1109" s="10" t="str">
        <f t="shared" si="17"/>
        <v/>
      </c>
    </row>
    <row r="1110" spans="9:9" x14ac:dyDescent="0.25">
      <c r="I1110" s="10" t="str">
        <f t="shared" si="17"/>
        <v/>
      </c>
    </row>
    <row r="1111" spans="9:9" x14ac:dyDescent="0.25">
      <c r="I1111" s="10" t="str">
        <f t="shared" si="17"/>
        <v/>
      </c>
    </row>
    <row r="1112" spans="9:9" x14ac:dyDescent="0.25">
      <c r="I1112" s="10" t="str">
        <f t="shared" si="17"/>
        <v/>
      </c>
    </row>
    <row r="1113" spans="9:9" x14ac:dyDescent="0.25">
      <c r="I1113" s="10" t="str">
        <f t="shared" si="17"/>
        <v/>
      </c>
    </row>
    <row r="1114" spans="9:9" x14ac:dyDescent="0.25">
      <c r="I1114" s="10" t="str">
        <f t="shared" si="17"/>
        <v/>
      </c>
    </row>
    <row r="1115" spans="9:9" x14ac:dyDescent="0.25">
      <c r="I1115" s="10" t="str">
        <f t="shared" si="17"/>
        <v/>
      </c>
    </row>
    <row r="1116" spans="9:9" x14ac:dyDescent="0.25">
      <c r="I1116" s="10" t="str">
        <f t="shared" si="17"/>
        <v/>
      </c>
    </row>
    <row r="1117" spans="9:9" x14ac:dyDescent="0.25">
      <c r="I1117" s="10" t="str">
        <f t="shared" si="17"/>
        <v/>
      </c>
    </row>
    <row r="1118" spans="9:9" x14ac:dyDescent="0.25">
      <c r="I1118" s="10" t="str">
        <f t="shared" si="17"/>
        <v/>
      </c>
    </row>
    <row r="1119" spans="9:9" x14ac:dyDescent="0.25">
      <c r="I1119" s="10" t="str">
        <f t="shared" si="17"/>
        <v/>
      </c>
    </row>
    <row r="1120" spans="9:9" x14ac:dyDescent="0.25">
      <c r="I1120" s="10" t="str">
        <f t="shared" si="17"/>
        <v/>
      </c>
    </row>
    <row r="1121" spans="9:9" x14ac:dyDescent="0.25">
      <c r="I1121" s="10" t="str">
        <f t="shared" si="17"/>
        <v/>
      </c>
    </row>
    <row r="1122" spans="9:9" x14ac:dyDescent="0.25">
      <c r="I1122" s="10" t="str">
        <f t="shared" si="17"/>
        <v/>
      </c>
    </row>
    <row r="1123" spans="9:9" x14ac:dyDescent="0.25">
      <c r="I1123" s="10" t="str">
        <f t="shared" si="17"/>
        <v/>
      </c>
    </row>
    <row r="1124" spans="9:9" x14ac:dyDescent="0.25">
      <c r="I1124" s="10" t="str">
        <f t="shared" si="17"/>
        <v/>
      </c>
    </row>
    <row r="1125" spans="9:9" x14ac:dyDescent="0.25">
      <c r="I1125" s="10" t="str">
        <f t="shared" si="17"/>
        <v/>
      </c>
    </row>
    <row r="1126" spans="9:9" x14ac:dyDescent="0.25">
      <c r="I1126" s="10" t="str">
        <f t="shared" si="17"/>
        <v/>
      </c>
    </row>
    <row r="1127" spans="9:9" x14ac:dyDescent="0.25">
      <c r="I1127" s="10" t="str">
        <f t="shared" si="17"/>
        <v/>
      </c>
    </row>
    <row r="1128" spans="9:9" x14ac:dyDescent="0.25">
      <c r="I1128" s="10" t="str">
        <f t="shared" si="17"/>
        <v/>
      </c>
    </row>
    <row r="1129" spans="9:9" x14ac:dyDescent="0.25">
      <c r="I1129" s="10" t="str">
        <f t="shared" si="17"/>
        <v/>
      </c>
    </row>
    <row r="1130" spans="9:9" x14ac:dyDescent="0.25">
      <c r="I1130" s="10" t="str">
        <f t="shared" si="17"/>
        <v/>
      </c>
    </row>
    <row r="1131" spans="9:9" x14ac:dyDescent="0.25">
      <c r="I1131" s="10" t="str">
        <f t="shared" si="17"/>
        <v/>
      </c>
    </row>
    <row r="1132" spans="9:9" x14ac:dyDescent="0.25">
      <c r="I1132" s="10" t="str">
        <f t="shared" si="17"/>
        <v/>
      </c>
    </row>
    <row r="1133" spans="9:9" x14ac:dyDescent="0.25">
      <c r="I1133" s="10" t="str">
        <f t="shared" si="17"/>
        <v/>
      </c>
    </row>
    <row r="1134" spans="9:9" x14ac:dyDescent="0.25">
      <c r="I1134" s="10" t="str">
        <f t="shared" si="17"/>
        <v/>
      </c>
    </row>
    <row r="1135" spans="9:9" x14ac:dyDescent="0.25">
      <c r="I1135" s="10" t="str">
        <f t="shared" si="17"/>
        <v/>
      </c>
    </row>
    <row r="1136" spans="9:9" x14ac:dyDescent="0.25">
      <c r="I1136" s="10" t="str">
        <f t="shared" si="17"/>
        <v/>
      </c>
    </row>
    <row r="1137" spans="9:9" x14ac:dyDescent="0.25">
      <c r="I1137" s="10" t="str">
        <f t="shared" si="17"/>
        <v/>
      </c>
    </row>
    <row r="1138" spans="9:9" x14ac:dyDescent="0.25">
      <c r="I1138" s="10" t="str">
        <f t="shared" si="17"/>
        <v/>
      </c>
    </row>
    <row r="1139" spans="9:9" x14ac:dyDescent="0.25">
      <c r="I1139" s="10" t="str">
        <f t="shared" si="17"/>
        <v/>
      </c>
    </row>
    <row r="1140" spans="9:9" x14ac:dyDescent="0.25">
      <c r="I1140" s="10" t="str">
        <f t="shared" si="17"/>
        <v/>
      </c>
    </row>
    <row r="1141" spans="9:9" x14ac:dyDescent="0.25">
      <c r="I1141" s="10" t="str">
        <f t="shared" si="17"/>
        <v/>
      </c>
    </row>
    <row r="1142" spans="9:9" x14ac:dyDescent="0.25">
      <c r="I1142" s="10" t="str">
        <f t="shared" si="17"/>
        <v/>
      </c>
    </row>
    <row r="1143" spans="9:9" x14ac:dyDescent="0.25">
      <c r="I1143" s="10" t="str">
        <f t="shared" si="17"/>
        <v/>
      </c>
    </row>
    <row r="1144" spans="9:9" x14ac:dyDescent="0.25">
      <c r="I1144" s="10" t="str">
        <f t="shared" si="17"/>
        <v/>
      </c>
    </row>
    <row r="1145" spans="9:9" x14ac:dyDescent="0.25">
      <c r="I1145" s="10" t="str">
        <f t="shared" si="17"/>
        <v/>
      </c>
    </row>
    <row r="1146" spans="9:9" x14ac:dyDescent="0.25">
      <c r="I1146" s="10" t="str">
        <f t="shared" si="17"/>
        <v/>
      </c>
    </row>
    <row r="1147" spans="9:9" x14ac:dyDescent="0.25">
      <c r="I1147" s="10" t="str">
        <f t="shared" si="17"/>
        <v/>
      </c>
    </row>
    <row r="1148" spans="9:9" x14ac:dyDescent="0.25">
      <c r="I1148" s="10" t="str">
        <f t="shared" si="17"/>
        <v/>
      </c>
    </row>
    <row r="1149" spans="9:9" x14ac:dyDescent="0.25">
      <c r="I1149" s="10" t="str">
        <f t="shared" si="17"/>
        <v/>
      </c>
    </row>
    <row r="1150" spans="9:9" x14ac:dyDescent="0.25">
      <c r="I1150" s="10" t="str">
        <f t="shared" si="17"/>
        <v/>
      </c>
    </row>
    <row r="1151" spans="9:9" x14ac:dyDescent="0.25">
      <c r="I1151" s="10" t="str">
        <f t="shared" si="17"/>
        <v/>
      </c>
    </row>
    <row r="1152" spans="9:9" x14ac:dyDescent="0.25">
      <c r="I1152" s="10" t="str">
        <f t="shared" si="17"/>
        <v/>
      </c>
    </row>
    <row r="1153" spans="9:9" x14ac:dyDescent="0.25">
      <c r="I1153" s="10" t="str">
        <f t="shared" si="17"/>
        <v/>
      </c>
    </row>
    <row r="1154" spans="9:9" x14ac:dyDescent="0.25">
      <c r="I1154" s="10" t="str">
        <f t="shared" si="17"/>
        <v/>
      </c>
    </row>
    <row r="1155" spans="9:9" x14ac:dyDescent="0.25">
      <c r="I1155" s="10" t="str">
        <f t="shared" ref="I1155:I1218" si="18">IFERROR(DATEVALUE(D1155),"")</f>
        <v/>
      </c>
    </row>
    <row r="1156" spans="9:9" x14ac:dyDescent="0.25">
      <c r="I1156" s="10" t="str">
        <f t="shared" si="18"/>
        <v/>
      </c>
    </row>
    <row r="1157" spans="9:9" x14ac:dyDescent="0.25">
      <c r="I1157" s="10" t="str">
        <f t="shared" si="18"/>
        <v/>
      </c>
    </row>
    <row r="1158" spans="9:9" x14ac:dyDescent="0.25">
      <c r="I1158" s="10" t="str">
        <f t="shared" si="18"/>
        <v/>
      </c>
    </row>
    <row r="1159" spans="9:9" x14ac:dyDescent="0.25">
      <c r="I1159" s="10" t="str">
        <f t="shared" si="18"/>
        <v/>
      </c>
    </row>
    <row r="1160" spans="9:9" x14ac:dyDescent="0.25">
      <c r="I1160" s="10" t="str">
        <f t="shared" si="18"/>
        <v/>
      </c>
    </row>
    <row r="1161" spans="9:9" x14ac:dyDescent="0.25">
      <c r="I1161" s="10" t="str">
        <f t="shared" si="18"/>
        <v/>
      </c>
    </row>
    <row r="1162" spans="9:9" x14ac:dyDescent="0.25">
      <c r="I1162" s="10" t="str">
        <f t="shared" si="18"/>
        <v/>
      </c>
    </row>
    <row r="1163" spans="9:9" x14ac:dyDescent="0.25">
      <c r="I1163" s="10" t="str">
        <f t="shared" si="18"/>
        <v/>
      </c>
    </row>
    <row r="1164" spans="9:9" x14ac:dyDescent="0.25">
      <c r="I1164" s="10" t="str">
        <f t="shared" si="18"/>
        <v/>
      </c>
    </row>
    <row r="1165" spans="9:9" x14ac:dyDescent="0.25">
      <c r="I1165" s="10" t="str">
        <f t="shared" si="18"/>
        <v/>
      </c>
    </row>
    <row r="1166" spans="9:9" x14ac:dyDescent="0.25">
      <c r="I1166" s="10" t="str">
        <f t="shared" si="18"/>
        <v/>
      </c>
    </row>
    <row r="1167" spans="9:9" x14ac:dyDescent="0.25">
      <c r="I1167" s="10" t="str">
        <f t="shared" si="18"/>
        <v/>
      </c>
    </row>
    <row r="1168" spans="9:9" x14ac:dyDescent="0.25">
      <c r="I1168" s="10" t="str">
        <f t="shared" si="18"/>
        <v/>
      </c>
    </row>
    <row r="1169" spans="9:9" x14ac:dyDescent="0.25">
      <c r="I1169" s="10" t="str">
        <f t="shared" si="18"/>
        <v/>
      </c>
    </row>
    <row r="1170" spans="9:9" x14ac:dyDescent="0.25">
      <c r="I1170" s="10" t="str">
        <f t="shared" si="18"/>
        <v/>
      </c>
    </row>
    <row r="1171" spans="9:9" x14ac:dyDescent="0.25">
      <c r="I1171" s="10" t="str">
        <f t="shared" si="18"/>
        <v/>
      </c>
    </row>
    <row r="1172" spans="9:9" x14ac:dyDescent="0.25">
      <c r="I1172" s="10" t="str">
        <f t="shared" si="18"/>
        <v/>
      </c>
    </row>
    <row r="1173" spans="9:9" x14ac:dyDescent="0.25">
      <c r="I1173" s="10" t="str">
        <f t="shared" si="18"/>
        <v/>
      </c>
    </row>
    <row r="1174" spans="9:9" x14ac:dyDescent="0.25">
      <c r="I1174" s="10" t="str">
        <f t="shared" si="18"/>
        <v/>
      </c>
    </row>
    <row r="1175" spans="9:9" x14ac:dyDescent="0.25">
      <c r="I1175" s="10" t="str">
        <f t="shared" si="18"/>
        <v/>
      </c>
    </row>
    <row r="1176" spans="9:9" x14ac:dyDescent="0.25">
      <c r="I1176" s="10" t="str">
        <f t="shared" si="18"/>
        <v/>
      </c>
    </row>
    <row r="1177" spans="9:9" x14ac:dyDescent="0.25">
      <c r="I1177" s="10" t="str">
        <f t="shared" si="18"/>
        <v/>
      </c>
    </row>
    <row r="1178" spans="9:9" x14ac:dyDescent="0.25">
      <c r="I1178" s="10" t="str">
        <f t="shared" si="18"/>
        <v/>
      </c>
    </row>
    <row r="1179" spans="9:9" x14ac:dyDescent="0.25">
      <c r="I1179" s="10" t="str">
        <f t="shared" si="18"/>
        <v/>
      </c>
    </row>
    <row r="1180" spans="9:9" x14ac:dyDescent="0.25">
      <c r="I1180" s="10" t="str">
        <f t="shared" si="18"/>
        <v/>
      </c>
    </row>
    <row r="1181" spans="9:9" x14ac:dyDescent="0.25">
      <c r="I1181" s="10" t="str">
        <f t="shared" si="18"/>
        <v/>
      </c>
    </row>
    <row r="1182" spans="9:9" x14ac:dyDescent="0.25">
      <c r="I1182" s="10" t="str">
        <f t="shared" si="18"/>
        <v/>
      </c>
    </row>
    <row r="1183" spans="9:9" x14ac:dyDescent="0.25">
      <c r="I1183" s="10" t="str">
        <f t="shared" si="18"/>
        <v/>
      </c>
    </row>
    <row r="1184" spans="9:9" x14ac:dyDescent="0.25">
      <c r="I1184" s="10" t="str">
        <f t="shared" si="18"/>
        <v/>
      </c>
    </row>
    <row r="1185" spans="9:9" x14ac:dyDescent="0.25">
      <c r="I1185" s="10" t="str">
        <f t="shared" si="18"/>
        <v/>
      </c>
    </row>
    <row r="1186" spans="9:9" x14ac:dyDescent="0.25">
      <c r="I1186" s="10" t="str">
        <f t="shared" si="18"/>
        <v/>
      </c>
    </row>
    <row r="1187" spans="9:9" x14ac:dyDescent="0.25">
      <c r="I1187" s="10" t="str">
        <f t="shared" si="18"/>
        <v/>
      </c>
    </row>
    <row r="1188" spans="9:9" x14ac:dyDescent="0.25">
      <c r="I1188" s="10" t="str">
        <f t="shared" si="18"/>
        <v/>
      </c>
    </row>
    <row r="1189" spans="9:9" x14ac:dyDescent="0.25">
      <c r="I1189" s="10" t="str">
        <f t="shared" si="18"/>
        <v/>
      </c>
    </row>
    <row r="1190" spans="9:9" x14ac:dyDescent="0.25">
      <c r="I1190" s="10" t="str">
        <f t="shared" si="18"/>
        <v/>
      </c>
    </row>
    <row r="1191" spans="9:9" x14ac:dyDescent="0.25">
      <c r="I1191" s="10" t="str">
        <f t="shared" si="18"/>
        <v/>
      </c>
    </row>
    <row r="1192" spans="9:9" x14ac:dyDescent="0.25">
      <c r="I1192" s="10" t="str">
        <f t="shared" si="18"/>
        <v/>
      </c>
    </row>
    <row r="1193" spans="9:9" x14ac:dyDescent="0.25">
      <c r="I1193" s="10" t="str">
        <f t="shared" si="18"/>
        <v/>
      </c>
    </row>
    <row r="1194" spans="9:9" x14ac:dyDescent="0.25">
      <c r="I1194" s="10" t="str">
        <f t="shared" si="18"/>
        <v/>
      </c>
    </row>
    <row r="1195" spans="9:9" x14ac:dyDescent="0.25">
      <c r="I1195" s="10" t="str">
        <f t="shared" si="18"/>
        <v/>
      </c>
    </row>
    <row r="1196" spans="9:9" x14ac:dyDescent="0.25">
      <c r="I1196" s="10" t="str">
        <f t="shared" si="18"/>
        <v/>
      </c>
    </row>
    <row r="1197" spans="9:9" x14ac:dyDescent="0.25">
      <c r="I1197" s="10" t="str">
        <f t="shared" si="18"/>
        <v/>
      </c>
    </row>
    <row r="1198" spans="9:9" x14ac:dyDescent="0.25">
      <c r="I1198" s="10" t="str">
        <f t="shared" si="18"/>
        <v/>
      </c>
    </row>
    <row r="1199" spans="9:9" x14ac:dyDescent="0.25">
      <c r="I1199" s="10" t="str">
        <f t="shared" si="18"/>
        <v/>
      </c>
    </row>
    <row r="1200" spans="9:9" x14ac:dyDescent="0.25">
      <c r="I1200" s="10" t="str">
        <f t="shared" si="18"/>
        <v/>
      </c>
    </row>
    <row r="1201" spans="9:9" x14ac:dyDescent="0.25">
      <c r="I1201" s="10" t="str">
        <f t="shared" si="18"/>
        <v/>
      </c>
    </row>
    <row r="1202" spans="9:9" x14ac:dyDescent="0.25">
      <c r="I1202" s="10" t="str">
        <f t="shared" si="18"/>
        <v/>
      </c>
    </row>
    <row r="1203" spans="9:9" x14ac:dyDescent="0.25">
      <c r="I1203" s="10" t="str">
        <f t="shared" si="18"/>
        <v/>
      </c>
    </row>
    <row r="1204" spans="9:9" x14ac:dyDescent="0.25">
      <c r="I1204" s="10" t="str">
        <f t="shared" si="18"/>
        <v/>
      </c>
    </row>
    <row r="1205" spans="9:9" x14ac:dyDescent="0.25">
      <c r="I1205" s="10" t="str">
        <f t="shared" si="18"/>
        <v/>
      </c>
    </row>
    <row r="1206" spans="9:9" x14ac:dyDescent="0.25">
      <c r="I1206" s="10" t="str">
        <f t="shared" si="18"/>
        <v/>
      </c>
    </row>
    <row r="1207" spans="9:9" x14ac:dyDescent="0.25">
      <c r="I1207" s="10" t="str">
        <f t="shared" si="18"/>
        <v/>
      </c>
    </row>
    <row r="1208" spans="9:9" x14ac:dyDescent="0.25">
      <c r="I1208" s="10" t="str">
        <f t="shared" si="18"/>
        <v/>
      </c>
    </row>
    <row r="1209" spans="9:9" x14ac:dyDescent="0.25">
      <c r="I1209" s="10" t="str">
        <f t="shared" si="18"/>
        <v/>
      </c>
    </row>
    <row r="1210" spans="9:9" x14ac:dyDescent="0.25">
      <c r="I1210" s="10" t="str">
        <f t="shared" si="18"/>
        <v/>
      </c>
    </row>
    <row r="1211" spans="9:9" x14ac:dyDescent="0.25">
      <c r="I1211" s="10" t="str">
        <f t="shared" si="18"/>
        <v/>
      </c>
    </row>
    <row r="1212" spans="9:9" x14ac:dyDescent="0.25">
      <c r="I1212" s="10" t="str">
        <f t="shared" si="18"/>
        <v/>
      </c>
    </row>
    <row r="1213" spans="9:9" x14ac:dyDescent="0.25">
      <c r="I1213" s="10" t="str">
        <f t="shared" si="18"/>
        <v/>
      </c>
    </row>
    <row r="1214" spans="9:9" x14ac:dyDescent="0.25">
      <c r="I1214" s="10" t="str">
        <f t="shared" si="18"/>
        <v/>
      </c>
    </row>
    <row r="1215" spans="9:9" x14ac:dyDescent="0.25">
      <c r="I1215" s="10" t="str">
        <f t="shared" si="18"/>
        <v/>
      </c>
    </row>
    <row r="1216" spans="9:9" x14ac:dyDescent="0.25">
      <c r="I1216" s="10" t="str">
        <f t="shared" si="18"/>
        <v/>
      </c>
    </row>
    <row r="1217" spans="9:9" x14ac:dyDescent="0.25">
      <c r="I1217" s="10" t="str">
        <f t="shared" si="18"/>
        <v/>
      </c>
    </row>
    <row r="1218" spans="9:9" x14ac:dyDescent="0.25">
      <c r="I1218" s="10" t="str">
        <f t="shared" si="18"/>
        <v/>
      </c>
    </row>
    <row r="1219" spans="9:9" x14ac:dyDescent="0.25">
      <c r="I1219" s="10" t="str">
        <f t="shared" ref="I1219:I1282" si="19">IFERROR(DATEVALUE(D1219),"")</f>
        <v/>
      </c>
    </row>
    <row r="1220" spans="9:9" x14ac:dyDescent="0.25">
      <c r="I1220" s="10" t="str">
        <f t="shared" si="19"/>
        <v/>
      </c>
    </row>
    <row r="1221" spans="9:9" x14ac:dyDescent="0.25">
      <c r="I1221" s="10" t="str">
        <f t="shared" si="19"/>
        <v/>
      </c>
    </row>
    <row r="1222" spans="9:9" x14ac:dyDescent="0.25">
      <c r="I1222" s="10" t="str">
        <f t="shared" si="19"/>
        <v/>
      </c>
    </row>
    <row r="1223" spans="9:9" x14ac:dyDescent="0.25">
      <c r="I1223" s="10" t="str">
        <f t="shared" si="19"/>
        <v/>
      </c>
    </row>
    <row r="1224" spans="9:9" x14ac:dyDescent="0.25">
      <c r="I1224" s="10" t="str">
        <f t="shared" si="19"/>
        <v/>
      </c>
    </row>
    <row r="1225" spans="9:9" x14ac:dyDescent="0.25">
      <c r="I1225" s="10" t="str">
        <f t="shared" si="19"/>
        <v/>
      </c>
    </row>
    <row r="1226" spans="9:9" x14ac:dyDescent="0.25">
      <c r="I1226" s="10" t="str">
        <f t="shared" si="19"/>
        <v/>
      </c>
    </row>
    <row r="1227" spans="9:9" x14ac:dyDescent="0.25">
      <c r="I1227" s="10" t="str">
        <f t="shared" si="19"/>
        <v/>
      </c>
    </row>
    <row r="1228" spans="9:9" x14ac:dyDescent="0.25">
      <c r="I1228" s="10" t="str">
        <f t="shared" si="19"/>
        <v/>
      </c>
    </row>
    <row r="1229" spans="9:9" x14ac:dyDescent="0.25">
      <c r="I1229" s="10" t="str">
        <f t="shared" si="19"/>
        <v/>
      </c>
    </row>
    <row r="1230" spans="9:9" x14ac:dyDescent="0.25">
      <c r="I1230" s="10" t="str">
        <f t="shared" si="19"/>
        <v/>
      </c>
    </row>
    <row r="1231" spans="9:9" x14ac:dyDescent="0.25">
      <c r="I1231" s="10" t="str">
        <f t="shared" si="19"/>
        <v/>
      </c>
    </row>
    <row r="1232" spans="9:9" x14ac:dyDescent="0.25">
      <c r="I1232" s="10" t="str">
        <f t="shared" si="19"/>
        <v/>
      </c>
    </row>
    <row r="1233" spans="9:9" x14ac:dyDescent="0.25">
      <c r="I1233" s="10" t="str">
        <f t="shared" si="19"/>
        <v/>
      </c>
    </row>
    <row r="1234" spans="9:9" x14ac:dyDescent="0.25">
      <c r="I1234" s="10" t="str">
        <f t="shared" si="19"/>
        <v/>
      </c>
    </row>
    <row r="1235" spans="9:9" x14ac:dyDescent="0.25">
      <c r="I1235" s="10" t="str">
        <f t="shared" si="19"/>
        <v/>
      </c>
    </row>
    <row r="1236" spans="9:9" x14ac:dyDescent="0.25">
      <c r="I1236" s="10" t="str">
        <f t="shared" si="19"/>
        <v/>
      </c>
    </row>
    <row r="1237" spans="9:9" x14ac:dyDescent="0.25">
      <c r="I1237" s="10" t="str">
        <f t="shared" si="19"/>
        <v/>
      </c>
    </row>
    <row r="1238" spans="9:9" x14ac:dyDescent="0.25">
      <c r="I1238" s="10" t="str">
        <f t="shared" si="19"/>
        <v/>
      </c>
    </row>
    <row r="1239" spans="9:9" x14ac:dyDescent="0.25">
      <c r="I1239" s="10" t="str">
        <f t="shared" si="19"/>
        <v/>
      </c>
    </row>
    <row r="1240" spans="9:9" x14ac:dyDescent="0.25">
      <c r="I1240" s="10" t="str">
        <f t="shared" si="19"/>
        <v/>
      </c>
    </row>
    <row r="1241" spans="9:9" x14ac:dyDescent="0.25">
      <c r="I1241" s="10" t="str">
        <f t="shared" si="19"/>
        <v/>
      </c>
    </row>
    <row r="1242" spans="9:9" x14ac:dyDescent="0.25">
      <c r="I1242" s="10" t="str">
        <f t="shared" si="19"/>
        <v/>
      </c>
    </row>
    <row r="1243" spans="9:9" x14ac:dyDescent="0.25">
      <c r="I1243" s="10" t="str">
        <f t="shared" si="19"/>
        <v/>
      </c>
    </row>
    <row r="1244" spans="9:9" x14ac:dyDescent="0.25">
      <c r="I1244" s="10" t="str">
        <f t="shared" si="19"/>
        <v/>
      </c>
    </row>
    <row r="1245" spans="9:9" x14ac:dyDescent="0.25">
      <c r="I1245" s="10" t="str">
        <f t="shared" si="19"/>
        <v/>
      </c>
    </row>
    <row r="1246" spans="9:9" x14ac:dyDescent="0.25">
      <c r="I1246" s="10" t="str">
        <f t="shared" si="19"/>
        <v/>
      </c>
    </row>
    <row r="1247" spans="9:9" x14ac:dyDescent="0.25">
      <c r="I1247" s="10" t="str">
        <f t="shared" si="19"/>
        <v/>
      </c>
    </row>
    <row r="1248" spans="9:9" x14ac:dyDescent="0.25">
      <c r="I1248" s="10" t="str">
        <f t="shared" si="19"/>
        <v/>
      </c>
    </row>
    <row r="1249" spans="9:9" x14ac:dyDescent="0.25">
      <c r="I1249" s="10" t="str">
        <f t="shared" si="19"/>
        <v/>
      </c>
    </row>
    <row r="1250" spans="9:9" x14ac:dyDescent="0.25">
      <c r="I1250" s="10" t="str">
        <f t="shared" si="19"/>
        <v/>
      </c>
    </row>
    <row r="1251" spans="9:9" x14ac:dyDescent="0.25">
      <c r="I1251" s="10" t="str">
        <f t="shared" si="19"/>
        <v/>
      </c>
    </row>
    <row r="1252" spans="9:9" x14ac:dyDescent="0.25">
      <c r="I1252" s="10" t="str">
        <f t="shared" si="19"/>
        <v/>
      </c>
    </row>
    <row r="1253" spans="9:9" x14ac:dyDescent="0.25">
      <c r="I1253" s="10" t="str">
        <f t="shared" si="19"/>
        <v/>
      </c>
    </row>
    <row r="1254" spans="9:9" x14ac:dyDescent="0.25">
      <c r="I1254" s="10" t="str">
        <f t="shared" si="19"/>
        <v/>
      </c>
    </row>
    <row r="1255" spans="9:9" x14ac:dyDescent="0.25">
      <c r="I1255" s="10" t="str">
        <f t="shared" si="19"/>
        <v/>
      </c>
    </row>
    <row r="1256" spans="9:9" x14ac:dyDescent="0.25">
      <c r="I1256" s="10" t="str">
        <f t="shared" si="19"/>
        <v/>
      </c>
    </row>
    <row r="1257" spans="9:9" x14ac:dyDescent="0.25">
      <c r="I1257" s="10" t="str">
        <f t="shared" si="19"/>
        <v/>
      </c>
    </row>
    <row r="1258" spans="9:9" x14ac:dyDescent="0.25">
      <c r="I1258" s="10" t="str">
        <f t="shared" si="19"/>
        <v/>
      </c>
    </row>
    <row r="1259" spans="9:9" x14ac:dyDescent="0.25">
      <c r="I1259" s="10" t="str">
        <f t="shared" si="19"/>
        <v/>
      </c>
    </row>
    <row r="1260" spans="9:9" x14ac:dyDescent="0.25">
      <c r="I1260" s="10" t="str">
        <f t="shared" si="19"/>
        <v/>
      </c>
    </row>
    <row r="1261" spans="9:9" x14ac:dyDescent="0.25">
      <c r="I1261" s="10" t="str">
        <f t="shared" si="19"/>
        <v/>
      </c>
    </row>
    <row r="1262" spans="9:9" x14ac:dyDescent="0.25">
      <c r="I1262" s="10" t="str">
        <f t="shared" si="19"/>
        <v/>
      </c>
    </row>
    <row r="1263" spans="9:9" x14ac:dyDescent="0.25">
      <c r="I1263" s="10" t="str">
        <f t="shared" si="19"/>
        <v/>
      </c>
    </row>
    <row r="1264" spans="9:9" x14ac:dyDescent="0.25">
      <c r="I1264" s="10" t="str">
        <f t="shared" si="19"/>
        <v/>
      </c>
    </row>
    <row r="1265" spans="9:9" x14ac:dyDescent="0.25">
      <c r="I1265" s="10" t="str">
        <f t="shared" si="19"/>
        <v/>
      </c>
    </row>
    <row r="1266" spans="9:9" x14ac:dyDescent="0.25">
      <c r="I1266" s="10" t="str">
        <f t="shared" si="19"/>
        <v/>
      </c>
    </row>
    <row r="1267" spans="9:9" x14ac:dyDescent="0.25">
      <c r="I1267" s="10" t="str">
        <f t="shared" si="19"/>
        <v/>
      </c>
    </row>
    <row r="1268" spans="9:9" x14ac:dyDescent="0.25">
      <c r="I1268" s="10" t="str">
        <f t="shared" si="19"/>
        <v/>
      </c>
    </row>
    <row r="1269" spans="9:9" x14ac:dyDescent="0.25">
      <c r="I1269" s="10" t="str">
        <f t="shared" si="19"/>
        <v/>
      </c>
    </row>
    <row r="1270" spans="9:9" x14ac:dyDescent="0.25">
      <c r="I1270" s="10" t="str">
        <f t="shared" si="19"/>
        <v/>
      </c>
    </row>
    <row r="1271" spans="9:9" x14ac:dyDescent="0.25">
      <c r="I1271" s="10" t="str">
        <f t="shared" si="19"/>
        <v/>
      </c>
    </row>
    <row r="1272" spans="9:9" x14ac:dyDescent="0.25">
      <c r="I1272" s="10" t="str">
        <f t="shared" si="19"/>
        <v/>
      </c>
    </row>
    <row r="1273" spans="9:9" x14ac:dyDescent="0.25">
      <c r="I1273" s="10" t="str">
        <f t="shared" si="19"/>
        <v/>
      </c>
    </row>
    <row r="1274" spans="9:9" x14ac:dyDescent="0.25">
      <c r="I1274" s="10" t="str">
        <f t="shared" si="19"/>
        <v/>
      </c>
    </row>
    <row r="1275" spans="9:9" x14ac:dyDescent="0.25">
      <c r="I1275" s="10" t="str">
        <f t="shared" si="19"/>
        <v/>
      </c>
    </row>
    <row r="1276" spans="9:9" x14ac:dyDescent="0.25">
      <c r="I1276" s="10" t="str">
        <f t="shared" si="19"/>
        <v/>
      </c>
    </row>
    <row r="1277" spans="9:9" x14ac:dyDescent="0.25">
      <c r="I1277" s="10" t="str">
        <f t="shared" si="19"/>
        <v/>
      </c>
    </row>
    <row r="1278" spans="9:9" x14ac:dyDescent="0.25">
      <c r="I1278" s="10" t="str">
        <f t="shared" si="19"/>
        <v/>
      </c>
    </row>
    <row r="1279" spans="9:9" x14ac:dyDescent="0.25">
      <c r="I1279" s="10" t="str">
        <f t="shared" si="19"/>
        <v/>
      </c>
    </row>
    <row r="1280" spans="9:9" x14ac:dyDescent="0.25">
      <c r="I1280" s="10" t="str">
        <f t="shared" si="19"/>
        <v/>
      </c>
    </row>
    <row r="1281" spans="9:9" x14ac:dyDescent="0.25">
      <c r="I1281" s="10" t="str">
        <f t="shared" si="19"/>
        <v/>
      </c>
    </row>
    <row r="1282" spans="9:9" x14ac:dyDescent="0.25">
      <c r="I1282" s="10" t="str">
        <f t="shared" si="19"/>
        <v/>
      </c>
    </row>
    <row r="1283" spans="9:9" x14ac:dyDescent="0.25">
      <c r="I1283" s="10" t="str">
        <f t="shared" ref="I1283:I1346" si="20">IFERROR(DATEVALUE(D1283),"")</f>
        <v/>
      </c>
    </row>
    <row r="1284" spans="9:9" x14ac:dyDescent="0.25">
      <c r="I1284" s="10" t="str">
        <f t="shared" si="20"/>
        <v/>
      </c>
    </row>
    <row r="1285" spans="9:9" x14ac:dyDescent="0.25">
      <c r="I1285" s="10" t="str">
        <f t="shared" si="20"/>
        <v/>
      </c>
    </row>
    <row r="1286" spans="9:9" x14ac:dyDescent="0.25">
      <c r="I1286" s="10" t="str">
        <f t="shared" si="20"/>
        <v/>
      </c>
    </row>
    <row r="1287" spans="9:9" x14ac:dyDescent="0.25">
      <c r="I1287" s="10" t="str">
        <f t="shared" si="20"/>
        <v/>
      </c>
    </row>
    <row r="1288" spans="9:9" x14ac:dyDescent="0.25">
      <c r="I1288" s="10" t="str">
        <f t="shared" si="20"/>
        <v/>
      </c>
    </row>
    <row r="1289" spans="9:9" x14ac:dyDescent="0.25">
      <c r="I1289" s="10" t="str">
        <f t="shared" si="20"/>
        <v/>
      </c>
    </row>
    <row r="1290" spans="9:9" x14ac:dyDescent="0.25">
      <c r="I1290" s="10" t="str">
        <f t="shared" si="20"/>
        <v/>
      </c>
    </row>
    <row r="1291" spans="9:9" x14ac:dyDescent="0.25">
      <c r="I1291" s="10" t="str">
        <f t="shared" si="20"/>
        <v/>
      </c>
    </row>
    <row r="1292" spans="9:9" x14ac:dyDescent="0.25">
      <c r="I1292" s="10" t="str">
        <f t="shared" si="20"/>
        <v/>
      </c>
    </row>
    <row r="1293" spans="9:9" x14ac:dyDescent="0.25">
      <c r="I1293" s="10" t="str">
        <f t="shared" si="20"/>
        <v/>
      </c>
    </row>
    <row r="1294" spans="9:9" x14ac:dyDescent="0.25">
      <c r="I1294" s="10" t="str">
        <f t="shared" si="20"/>
        <v/>
      </c>
    </row>
    <row r="1295" spans="9:9" x14ac:dyDescent="0.25">
      <c r="I1295" s="10" t="str">
        <f t="shared" si="20"/>
        <v/>
      </c>
    </row>
    <row r="1296" spans="9:9" x14ac:dyDescent="0.25">
      <c r="I1296" s="10" t="str">
        <f t="shared" si="20"/>
        <v/>
      </c>
    </row>
    <row r="1297" spans="9:9" x14ac:dyDescent="0.25">
      <c r="I1297" s="10" t="str">
        <f t="shared" si="20"/>
        <v/>
      </c>
    </row>
    <row r="1298" spans="9:9" x14ac:dyDescent="0.25">
      <c r="I1298" s="10" t="str">
        <f t="shared" si="20"/>
        <v/>
      </c>
    </row>
    <row r="1299" spans="9:9" x14ac:dyDescent="0.25">
      <c r="I1299" s="10" t="str">
        <f t="shared" si="20"/>
        <v/>
      </c>
    </row>
    <row r="1300" spans="9:9" x14ac:dyDescent="0.25">
      <c r="I1300" s="10" t="str">
        <f t="shared" si="20"/>
        <v/>
      </c>
    </row>
    <row r="1301" spans="9:9" x14ac:dyDescent="0.25">
      <c r="I1301" s="10" t="str">
        <f t="shared" si="20"/>
        <v/>
      </c>
    </row>
    <row r="1302" spans="9:9" x14ac:dyDescent="0.25">
      <c r="I1302" s="10" t="str">
        <f t="shared" si="20"/>
        <v/>
      </c>
    </row>
    <row r="1303" spans="9:9" x14ac:dyDescent="0.25">
      <c r="I1303" s="10" t="str">
        <f t="shared" si="20"/>
        <v/>
      </c>
    </row>
    <row r="1304" spans="9:9" x14ac:dyDescent="0.25">
      <c r="I1304" s="10" t="str">
        <f t="shared" si="20"/>
        <v/>
      </c>
    </row>
    <row r="1305" spans="9:9" x14ac:dyDescent="0.25">
      <c r="I1305" s="10" t="str">
        <f t="shared" si="20"/>
        <v/>
      </c>
    </row>
    <row r="1306" spans="9:9" x14ac:dyDescent="0.25">
      <c r="I1306" s="10" t="str">
        <f t="shared" si="20"/>
        <v/>
      </c>
    </row>
    <row r="1307" spans="9:9" x14ac:dyDescent="0.25">
      <c r="I1307" s="10" t="str">
        <f t="shared" si="20"/>
        <v/>
      </c>
    </row>
    <row r="1308" spans="9:9" x14ac:dyDescent="0.25">
      <c r="I1308" s="10" t="str">
        <f t="shared" si="20"/>
        <v/>
      </c>
    </row>
    <row r="1309" spans="9:9" x14ac:dyDescent="0.25">
      <c r="I1309" s="10" t="str">
        <f t="shared" si="20"/>
        <v/>
      </c>
    </row>
    <row r="1310" spans="9:9" x14ac:dyDescent="0.25">
      <c r="I1310" s="10" t="str">
        <f t="shared" si="20"/>
        <v/>
      </c>
    </row>
    <row r="1311" spans="9:9" x14ac:dyDescent="0.25">
      <c r="I1311" s="10" t="str">
        <f t="shared" si="20"/>
        <v/>
      </c>
    </row>
    <row r="1312" spans="9:9" x14ac:dyDescent="0.25">
      <c r="I1312" s="10" t="str">
        <f t="shared" si="20"/>
        <v/>
      </c>
    </row>
    <row r="1313" spans="9:9" x14ac:dyDescent="0.25">
      <c r="I1313" s="10" t="str">
        <f t="shared" si="20"/>
        <v/>
      </c>
    </row>
    <row r="1314" spans="9:9" x14ac:dyDescent="0.25">
      <c r="I1314" s="10" t="str">
        <f t="shared" si="20"/>
        <v/>
      </c>
    </row>
    <row r="1315" spans="9:9" x14ac:dyDescent="0.25">
      <c r="I1315" s="10" t="str">
        <f t="shared" si="20"/>
        <v/>
      </c>
    </row>
    <row r="1316" spans="9:9" x14ac:dyDescent="0.25">
      <c r="I1316" s="10" t="str">
        <f t="shared" si="20"/>
        <v/>
      </c>
    </row>
    <row r="1317" spans="9:9" x14ac:dyDescent="0.25">
      <c r="I1317" s="10" t="str">
        <f t="shared" si="20"/>
        <v/>
      </c>
    </row>
    <row r="1318" spans="9:9" x14ac:dyDescent="0.25">
      <c r="I1318" s="10" t="str">
        <f t="shared" si="20"/>
        <v/>
      </c>
    </row>
    <row r="1319" spans="9:9" x14ac:dyDescent="0.25">
      <c r="I1319" s="10" t="str">
        <f t="shared" si="20"/>
        <v/>
      </c>
    </row>
    <row r="1320" spans="9:9" x14ac:dyDescent="0.25">
      <c r="I1320" s="10" t="str">
        <f t="shared" si="20"/>
        <v/>
      </c>
    </row>
    <row r="1321" spans="9:9" x14ac:dyDescent="0.25">
      <c r="I1321" s="10" t="str">
        <f t="shared" si="20"/>
        <v/>
      </c>
    </row>
    <row r="1322" spans="9:9" x14ac:dyDescent="0.25">
      <c r="I1322" s="10" t="str">
        <f t="shared" si="20"/>
        <v/>
      </c>
    </row>
    <row r="1323" spans="9:9" x14ac:dyDescent="0.25">
      <c r="I1323" s="10" t="str">
        <f t="shared" si="20"/>
        <v/>
      </c>
    </row>
    <row r="1324" spans="9:9" x14ac:dyDescent="0.25">
      <c r="I1324" s="10" t="str">
        <f t="shared" si="20"/>
        <v/>
      </c>
    </row>
    <row r="1325" spans="9:9" x14ac:dyDescent="0.25">
      <c r="I1325" s="10" t="str">
        <f t="shared" si="20"/>
        <v/>
      </c>
    </row>
    <row r="1326" spans="9:9" x14ac:dyDescent="0.25">
      <c r="I1326" s="10" t="str">
        <f t="shared" si="20"/>
        <v/>
      </c>
    </row>
    <row r="1327" spans="9:9" x14ac:dyDescent="0.25">
      <c r="I1327" s="10" t="str">
        <f t="shared" si="20"/>
        <v/>
      </c>
    </row>
    <row r="1328" spans="9:9" x14ac:dyDescent="0.25">
      <c r="I1328" s="10" t="str">
        <f t="shared" si="20"/>
        <v/>
      </c>
    </row>
    <row r="1329" spans="9:9" x14ac:dyDescent="0.25">
      <c r="I1329" s="10" t="str">
        <f t="shared" si="20"/>
        <v/>
      </c>
    </row>
    <row r="1330" spans="9:9" x14ac:dyDescent="0.25">
      <c r="I1330" s="10" t="str">
        <f t="shared" si="20"/>
        <v/>
      </c>
    </row>
    <row r="1331" spans="9:9" x14ac:dyDescent="0.25">
      <c r="I1331" s="10" t="str">
        <f t="shared" si="20"/>
        <v/>
      </c>
    </row>
    <row r="1332" spans="9:9" x14ac:dyDescent="0.25">
      <c r="I1332" s="10" t="str">
        <f t="shared" si="20"/>
        <v/>
      </c>
    </row>
    <row r="1333" spans="9:9" x14ac:dyDescent="0.25">
      <c r="I1333" s="10" t="str">
        <f t="shared" si="20"/>
        <v/>
      </c>
    </row>
    <row r="1334" spans="9:9" x14ac:dyDescent="0.25">
      <c r="I1334" s="10" t="str">
        <f t="shared" si="20"/>
        <v/>
      </c>
    </row>
    <row r="1335" spans="9:9" x14ac:dyDescent="0.25">
      <c r="I1335" s="10" t="str">
        <f t="shared" si="20"/>
        <v/>
      </c>
    </row>
    <row r="1336" spans="9:9" x14ac:dyDescent="0.25">
      <c r="I1336" s="10" t="str">
        <f t="shared" si="20"/>
        <v/>
      </c>
    </row>
    <row r="1337" spans="9:9" x14ac:dyDescent="0.25">
      <c r="I1337" s="10" t="str">
        <f t="shared" si="20"/>
        <v/>
      </c>
    </row>
    <row r="1338" spans="9:9" x14ac:dyDescent="0.25">
      <c r="I1338" s="10" t="str">
        <f t="shared" si="20"/>
        <v/>
      </c>
    </row>
    <row r="1339" spans="9:9" x14ac:dyDescent="0.25">
      <c r="I1339" s="10" t="str">
        <f t="shared" si="20"/>
        <v/>
      </c>
    </row>
    <row r="1340" spans="9:9" x14ac:dyDescent="0.25">
      <c r="I1340" s="10" t="str">
        <f t="shared" si="20"/>
        <v/>
      </c>
    </row>
    <row r="1341" spans="9:9" x14ac:dyDescent="0.25">
      <c r="I1341" s="10" t="str">
        <f t="shared" si="20"/>
        <v/>
      </c>
    </row>
    <row r="1342" spans="9:9" x14ac:dyDescent="0.25">
      <c r="I1342" s="10" t="str">
        <f t="shared" si="20"/>
        <v/>
      </c>
    </row>
    <row r="1343" spans="9:9" x14ac:dyDescent="0.25">
      <c r="I1343" s="10" t="str">
        <f t="shared" si="20"/>
        <v/>
      </c>
    </row>
    <row r="1344" spans="9:9" x14ac:dyDescent="0.25">
      <c r="I1344" s="10" t="str">
        <f t="shared" si="20"/>
        <v/>
      </c>
    </row>
    <row r="1345" spans="9:9" x14ac:dyDescent="0.25">
      <c r="I1345" s="10" t="str">
        <f t="shared" si="20"/>
        <v/>
      </c>
    </row>
    <row r="1346" spans="9:9" x14ac:dyDescent="0.25">
      <c r="I1346" s="10" t="str">
        <f t="shared" si="20"/>
        <v/>
      </c>
    </row>
    <row r="1347" spans="9:9" x14ac:dyDescent="0.25">
      <c r="I1347" s="10" t="str">
        <f t="shared" ref="I1347:I1410" si="21">IFERROR(DATEVALUE(D1347),"")</f>
        <v/>
      </c>
    </row>
    <row r="1348" spans="9:9" x14ac:dyDescent="0.25">
      <c r="I1348" s="10" t="str">
        <f t="shared" si="21"/>
        <v/>
      </c>
    </row>
    <row r="1349" spans="9:9" x14ac:dyDescent="0.25">
      <c r="I1349" s="10" t="str">
        <f t="shared" si="21"/>
        <v/>
      </c>
    </row>
    <row r="1350" spans="9:9" x14ac:dyDescent="0.25">
      <c r="I1350" s="10" t="str">
        <f t="shared" si="21"/>
        <v/>
      </c>
    </row>
    <row r="1351" spans="9:9" x14ac:dyDescent="0.25">
      <c r="I1351" s="10" t="str">
        <f t="shared" si="21"/>
        <v/>
      </c>
    </row>
    <row r="1352" spans="9:9" x14ac:dyDescent="0.25">
      <c r="I1352" s="10" t="str">
        <f t="shared" si="21"/>
        <v/>
      </c>
    </row>
    <row r="1353" spans="9:9" x14ac:dyDescent="0.25">
      <c r="I1353" s="10" t="str">
        <f t="shared" si="21"/>
        <v/>
      </c>
    </row>
    <row r="1354" spans="9:9" x14ac:dyDescent="0.25">
      <c r="I1354" s="10" t="str">
        <f t="shared" si="21"/>
        <v/>
      </c>
    </row>
    <row r="1355" spans="9:9" x14ac:dyDescent="0.25">
      <c r="I1355" s="10" t="str">
        <f t="shared" si="21"/>
        <v/>
      </c>
    </row>
    <row r="1356" spans="9:9" x14ac:dyDescent="0.25">
      <c r="I1356" s="10" t="str">
        <f t="shared" si="21"/>
        <v/>
      </c>
    </row>
    <row r="1357" spans="9:9" x14ac:dyDescent="0.25">
      <c r="I1357" s="10" t="str">
        <f t="shared" si="21"/>
        <v/>
      </c>
    </row>
    <row r="1358" spans="9:9" x14ac:dyDescent="0.25">
      <c r="I1358" s="10" t="str">
        <f t="shared" si="21"/>
        <v/>
      </c>
    </row>
    <row r="1359" spans="9:9" x14ac:dyDescent="0.25">
      <c r="I1359" s="10" t="str">
        <f t="shared" si="21"/>
        <v/>
      </c>
    </row>
    <row r="1360" spans="9:9" x14ac:dyDescent="0.25">
      <c r="I1360" s="10" t="str">
        <f t="shared" si="21"/>
        <v/>
      </c>
    </row>
    <row r="1361" spans="9:9" x14ac:dyDescent="0.25">
      <c r="I1361" s="10" t="str">
        <f t="shared" si="21"/>
        <v/>
      </c>
    </row>
    <row r="1362" spans="9:9" x14ac:dyDescent="0.25">
      <c r="I1362" s="10" t="str">
        <f t="shared" si="21"/>
        <v/>
      </c>
    </row>
    <row r="1363" spans="9:9" x14ac:dyDescent="0.25">
      <c r="I1363" s="10" t="str">
        <f t="shared" si="21"/>
        <v/>
      </c>
    </row>
    <row r="1364" spans="9:9" x14ac:dyDescent="0.25">
      <c r="I1364" s="10" t="str">
        <f t="shared" si="21"/>
        <v/>
      </c>
    </row>
    <row r="1365" spans="9:9" x14ac:dyDescent="0.25">
      <c r="I1365" s="10" t="str">
        <f t="shared" si="21"/>
        <v/>
      </c>
    </row>
    <row r="1366" spans="9:9" x14ac:dyDescent="0.25">
      <c r="I1366" s="10" t="str">
        <f t="shared" si="21"/>
        <v/>
      </c>
    </row>
    <row r="1367" spans="9:9" x14ac:dyDescent="0.25">
      <c r="I1367" s="10" t="str">
        <f t="shared" si="21"/>
        <v/>
      </c>
    </row>
    <row r="1368" spans="9:9" x14ac:dyDescent="0.25">
      <c r="I1368" s="10" t="str">
        <f t="shared" si="21"/>
        <v/>
      </c>
    </row>
    <row r="1369" spans="9:9" x14ac:dyDescent="0.25">
      <c r="I1369" s="10" t="str">
        <f t="shared" si="21"/>
        <v/>
      </c>
    </row>
    <row r="1370" spans="9:9" x14ac:dyDescent="0.25">
      <c r="I1370" s="10" t="str">
        <f t="shared" si="21"/>
        <v/>
      </c>
    </row>
    <row r="1371" spans="9:9" x14ac:dyDescent="0.25">
      <c r="I1371" s="10" t="str">
        <f t="shared" si="21"/>
        <v/>
      </c>
    </row>
    <row r="1372" spans="9:9" x14ac:dyDescent="0.25">
      <c r="I1372" s="10" t="str">
        <f t="shared" si="21"/>
        <v/>
      </c>
    </row>
    <row r="1373" spans="9:9" x14ac:dyDescent="0.25">
      <c r="I1373" s="10" t="str">
        <f t="shared" si="21"/>
        <v/>
      </c>
    </row>
    <row r="1374" spans="9:9" x14ac:dyDescent="0.25">
      <c r="I1374" s="10" t="str">
        <f t="shared" si="21"/>
        <v/>
      </c>
    </row>
    <row r="1375" spans="9:9" x14ac:dyDescent="0.25">
      <c r="I1375" s="10" t="str">
        <f t="shared" si="21"/>
        <v/>
      </c>
    </row>
    <row r="1376" spans="9:9" x14ac:dyDescent="0.25">
      <c r="I1376" s="10" t="str">
        <f t="shared" si="21"/>
        <v/>
      </c>
    </row>
    <row r="1377" spans="9:9" x14ac:dyDescent="0.25">
      <c r="I1377" s="10" t="str">
        <f t="shared" si="21"/>
        <v/>
      </c>
    </row>
    <row r="1378" spans="9:9" x14ac:dyDescent="0.25">
      <c r="I1378" s="10" t="str">
        <f t="shared" si="21"/>
        <v/>
      </c>
    </row>
    <row r="1379" spans="9:9" x14ac:dyDescent="0.25">
      <c r="I1379" s="10" t="str">
        <f t="shared" si="21"/>
        <v/>
      </c>
    </row>
    <row r="1380" spans="9:9" x14ac:dyDescent="0.25">
      <c r="I1380" s="10" t="str">
        <f t="shared" si="21"/>
        <v/>
      </c>
    </row>
    <row r="1381" spans="9:9" x14ac:dyDescent="0.25">
      <c r="I1381" s="10" t="str">
        <f t="shared" si="21"/>
        <v/>
      </c>
    </row>
    <row r="1382" spans="9:9" x14ac:dyDescent="0.25">
      <c r="I1382" s="10" t="str">
        <f t="shared" si="21"/>
        <v/>
      </c>
    </row>
    <row r="1383" spans="9:9" x14ac:dyDescent="0.25">
      <c r="I1383" s="10" t="str">
        <f t="shared" si="21"/>
        <v/>
      </c>
    </row>
    <row r="1384" spans="9:9" x14ac:dyDescent="0.25">
      <c r="I1384" s="10" t="str">
        <f t="shared" si="21"/>
        <v/>
      </c>
    </row>
    <row r="1385" spans="9:9" x14ac:dyDescent="0.25">
      <c r="I1385" s="10" t="str">
        <f t="shared" si="21"/>
        <v/>
      </c>
    </row>
    <row r="1386" spans="9:9" x14ac:dyDescent="0.25">
      <c r="I1386" s="10" t="str">
        <f t="shared" si="21"/>
        <v/>
      </c>
    </row>
    <row r="1387" spans="9:9" x14ac:dyDescent="0.25">
      <c r="I1387" s="10" t="str">
        <f t="shared" si="21"/>
        <v/>
      </c>
    </row>
    <row r="1388" spans="9:9" x14ac:dyDescent="0.25">
      <c r="I1388" s="10" t="str">
        <f t="shared" si="21"/>
        <v/>
      </c>
    </row>
    <row r="1389" spans="9:9" x14ac:dyDescent="0.25">
      <c r="I1389" s="10" t="str">
        <f t="shared" si="21"/>
        <v/>
      </c>
    </row>
    <row r="1390" spans="9:9" x14ac:dyDescent="0.25">
      <c r="I1390" s="10" t="str">
        <f t="shared" si="21"/>
        <v/>
      </c>
    </row>
    <row r="1391" spans="9:9" x14ac:dyDescent="0.25">
      <c r="I1391" s="10" t="str">
        <f t="shared" si="21"/>
        <v/>
      </c>
    </row>
    <row r="1392" spans="9:9" x14ac:dyDescent="0.25">
      <c r="I1392" s="10" t="str">
        <f t="shared" si="21"/>
        <v/>
      </c>
    </row>
    <row r="1393" spans="9:9" x14ac:dyDescent="0.25">
      <c r="I1393" s="10" t="str">
        <f t="shared" si="21"/>
        <v/>
      </c>
    </row>
    <row r="1394" spans="9:9" x14ac:dyDescent="0.25">
      <c r="I1394" s="10" t="str">
        <f t="shared" si="21"/>
        <v/>
      </c>
    </row>
    <row r="1395" spans="9:9" x14ac:dyDescent="0.25">
      <c r="I1395" s="10" t="str">
        <f t="shared" si="21"/>
        <v/>
      </c>
    </row>
    <row r="1396" spans="9:9" x14ac:dyDescent="0.25">
      <c r="I1396" s="10" t="str">
        <f t="shared" si="21"/>
        <v/>
      </c>
    </row>
    <row r="1397" spans="9:9" x14ac:dyDescent="0.25">
      <c r="I1397" s="10" t="str">
        <f t="shared" si="21"/>
        <v/>
      </c>
    </row>
    <row r="1398" spans="9:9" x14ac:dyDescent="0.25">
      <c r="I1398" s="10" t="str">
        <f t="shared" si="21"/>
        <v/>
      </c>
    </row>
    <row r="1399" spans="9:9" x14ac:dyDescent="0.25">
      <c r="I1399" s="10" t="str">
        <f t="shared" si="21"/>
        <v/>
      </c>
    </row>
    <row r="1400" spans="9:9" x14ac:dyDescent="0.25">
      <c r="I1400" s="10" t="str">
        <f t="shared" si="21"/>
        <v/>
      </c>
    </row>
    <row r="1401" spans="9:9" x14ac:dyDescent="0.25">
      <c r="I1401" s="10" t="str">
        <f t="shared" si="21"/>
        <v/>
      </c>
    </row>
    <row r="1402" spans="9:9" x14ac:dyDescent="0.25">
      <c r="I1402" s="10" t="str">
        <f t="shared" si="21"/>
        <v/>
      </c>
    </row>
    <row r="1403" spans="9:9" x14ac:dyDescent="0.25">
      <c r="I1403" s="10" t="str">
        <f t="shared" si="21"/>
        <v/>
      </c>
    </row>
    <row r="1404" spans="9:9" x14ac:dyDescent="0.25">
      <c r="I1404" s="10" t="str">
        <f t="shared" si="21"/>
        <v/>
      </c>
    </row>
    <row r="1405" spans="9:9" x14ac:dyDescent="0.25">
      <c r="I1405" s="10" t="str">
        <f t="shared" si="21"/>
        <v/>
      </c>
    </row>
    <row r="1406" spans="9:9" x14ac:dyDescent="0.25">
      <c r="I1406" s="10" t="str">
        <f t="shared" si="21"/>
        <v/>
      </c>
    </row>
    <row r="1407" spans="9:9" x14ac:dyDescent="0.25">
      <c r="I1407" s="10" t="str">
        <f t="shared" si="21"/>
        <v/>
      </c>
    </row>
    <row r="1408" spans="9:9" x14ac:dyDescent="0.25">
      <c r="I1408" s="10" t="str">
        <f t="shared" si="21"/>
        <v/>
      </c>
    </row>
    <row r="1409" spans="9:9" x14ac:dyDescent="0.25">
      <c r="I1409" s="10" t="str">
        <f t="shared" si="21"/>
        <v/>
      </c>
    </row>
    <row r="1410" spans="9:9" x14ac:dyDescent="0.25">
      <c r="I1410" s="10" t="str">
        <f t="shared" si="21"/>
        <v/>
      </c>
    </row>
    <row r="1411" spans="9:9" x14ac:dyDescent="0.25">
      <c r="I1411" s="10" t="str">
        <f t="shared" ref="I1411:I1474" si="22">IFERROR(DATEVALUE(D1411),"")</f>
        <v/>
      </c>
    </row>
    <row r="1412" spans="9:9" x14ac:dyDescent="0.25">
      <c r="I1412" s="10" t="str">
        <f t="shared" si="22"/>
        <v/>
      </c>
    </row>
    <row r="1413" spans="9:9" x14ac:dyDescent="0.25">
      <c r="I1413" s="10" t="str">
        <f t="shared" si="22"/>
        <v/>
      </c>
    </row>
    <row r="1414" spans="9:9" x14ac:dyDescent="0.25">
      <c r="I1414" s="10" t="str">
        <f t="shared" si="22"/>
        <v/>
      </c>
    </row>
    <row r="1415" spans="9:9" x14ac:dyDescent="0.25">
      <c r="I1415" s="10" t="str">
        <f t="shared" si="22"/>
        <v/>
      </c>
    </row>
    <row r="1416" spans="9:9" x14ac:dyDescent="0.25">
      <c r="I1416" s="10" t="str">
        <f t="shared" si="22"/>
        <v/>
      </c>
    </row>
    <row r="1417" spans="9:9" x14ac:dyDescent="0.25">
      <c r="I1417" s="10" t="str">
        <f t="shared" si="22"/>
        <v/>
      </c>
    </row>
    <row r="1418" spans="9:9" x14ac:dyDescent="0.25">
      <c r="I1418" s="10" t="str">
        <f t="shared" si="22"/>
        <v/>
      </c>
    </row>
    <row r="1419" spans="9:9" x14ac:dyDescent="0.25">
      <c r="I1419" s="10" t="str">
        <f t="shared" si="22"/>
        <v/>
      </c>
    </row>
    <row r="1420" spans="9:9" x14ac:dyDescent="0.25">
      <c r="I1420" s="10" t="str">
        <f t="shared" si="22"/>
        <v/>
      </c>
    </row>
    <row r="1421" spans="9:9" x14ac:dyDescent="0.25">
      <c r="I1421" s="10" t="str">
        <f t="shared" si="22"/>
        <v/>
      </c>
    </row>
    <row r="1422" spans="9:9" x14ac:dyDescent="0.25">
      <c r="I1422" s="10" t="str">
        <f t="shared" si="22"/>
        <v/>
      </c>
    </row>
    <row r="1423" spans="9:9" x14ac:dyDescent="0.25">
      <c r="I1423" s="10" t="str">
        <f t="shared" si="22"/>
        <v/>
      </c>
    </row>
    <row r="1424" spans="9:9" x14ac:dyDescent="0.25">
      <c r="I1424" s="10" t="str">
        <f t="shared" si="22"/>
        <v/>
      </c>
    </row>
    <row r="1425" spans="9:9" x14ac:dyDescent="0.25">
      <c r="I1425" s="10" t="str">
        <f t="shared" si="22"/>
        <v/>
      </c>
    </row>
    <row r="1426" spans="9:9" x14ac:dyDescent="0.25">
      <c r="I1426" s="10" t="str">
        <f t="shared" si="22"/>
        <v/>
      </c>
    </row>
    <row r="1427" spans="9:9" x14ac:dyDescent="0.25">
      <c r="I1427" s="10" t="str">
        <f t="shared" si="22"/>
        <v/>
      </c>
    </row>
    <row r="1428" spans="9:9" x14ac:dyDescent="0.25">
      <c r="I1428" s="10" t="str">
        <f t="shared" si="22"/>
        <v/>
      </c>
    </row>
    <row r="1429" spans="9:9" x14ac:dyDescent="0.25">
      <c r="I1429" s="10" t="str">
        <f t="shared" si="22"/>
        <v/>
      </c>
    </row>
    <row r="1430" spans="9:9" x14ac:dyDescent="0.25">
      <c r="I1430" s="10" t="str">
        <f t="shared" si="22"/>
        <v/>
      </c>
    </row>
    <row r="1431" spans="9:9" x14ac:dyDescent="0.25">
      <c r="I1431" s="10" t="str">
        <f t="shared" si="22"/>
        <v/>
      </c>
    </row>
    <row r="1432" spans="9:9" x14ac:dyDescent="0.25">
      <c r="I1432" s="10" t="str">
        <f t="shared" si="22"/>
        <v/>
      </c>
    </row>
    <row r="1433" spans="9:9" x14ac:dyDescent="0.25">
      <c r="I1433" s="10" t="str">
        <f t="shared" si="22"/>
        <v/>
      </c>
    </row>
    <row r="1434" spans="9:9" x14ac:dyDescent="0.25">
      <c r="I1434" s="10" t="str">
        <f t="shared" si="22"/>
        <v/>
      </c>
    </row>
    <row r="1435" spans="9:9" x14ac:dyDescent="0.25">
      <c r="I1435" s="10" t="str">
        <f t="shared" si="22"/>
        <v/>
      </c>
    </row>
    <row r="1436" spans="9:9" x14ac:dyDescent="0.25">
      <c r="I1436" s="10" t="str">
        <f t="shared" si="22"/>
        <v/>
      </c>
    </row>
    <row r="1437" spans="9:9" x14ac:dyDescent="0.25">
      <c r="I1437" s="10" t="str">
        <f t="shared" si="22"/>
        <v/>
      </c>
    </row>
    <row r="1438" spans="9:9" x14ac:dyDescent="0.25">
      <c r="I1438" s="10" t="str">
        <f t="shared" si="22"/>
        <v/>
      </c>
    </row>
    <row r="1439" spans="9:9" x14ac:dyDescent="0.25">
      <c r="I1439" s="10" t="str">
        <f t="shared" si="22"/>
        <v/>
      </c>
    </row>
    <row r="1440" spans="9:9" x14ac:dyDescent="0.25">
      <c r="I1440" s="10" t="str">
        <f t="shared" si="22"/>
        <v/>
      </c>
    </row>
    <row r="1441" spans="9:9" x14ac:dyDescent="0.25">
      <c r="I1441" s="10" t="str">
        <f t="shared" si="22"/>
        <v/>
      </c>
    </row>
    <row r="1442" spans="9:9" x14ac:dyDescent="0.25">
      <c r="I1442" s="10" t="str">
        <f t="shared" si="22"/>
        <v/>
      </c>
    </row>
    <row r="1443" spans="9:9" x14ac:dyDescent="0.25">
      <c r="I1443" s="10" t="str">
        <f t="shared" si="22"/>
        <v/>
      </c>
    </row>
    <row r="1444" spans="9:9" x14ac:dyDescent="0.25">
      <c r="I1444" s="10" t="str">
        <f t="shared" si="22"/>
        <v/>
      </c>
    </row>
    <row r="1445" spans="9:9" x14ac:dyDescent="0.25">
      <c r="I1445" s="10" t="str">
        <f t="shared" si="22"/>
        <v/>
      </c>
    </row>
    <row r="1446" spans="9:9" x14ac:dyDescent="0.25">
      <c r="I1446" s="10" t="str">
        <f t="shared" si="22"/>
        <v/>
      </c>
    </row>
    <row r="1447" spans="9:9" x14ac:dyDescent="0.25">
      <c r="I1447" s="10" t="str">
        <f t="shared" si="22"/>
        <v/>
      </c>
    </row>
    <row r="1448" spans="9:9" x14ac:dyDescent="0.25">
      <c r="I1448" s="10" t="str">
        <f t="shared" si="22"/>
        <v/>
      </c>
    </row>
    <row r="1449" spans="9:9" x14ac:dyDescent="0.25">
      <c r="I1449" s="10" t="str">
        <f t="shared" si="22"/>
        <v/>
      </c>
    </row>
    <row r="1450" spans="9:9" x14ac:dyDescent="0.25">
      <c r="I1450" s="10" t="str">
        <f t="shared" si="22"/>
        <v/>
      </c>
    </row>
    <row r="1451" spans="9:9" x14ac:dyDescent="0.25">
      <c r="I1451" s="10" t="str">
        <f t="shared" si="22"/>
        <v/>
      </c>
    </row>
    <row r="1452" spans="9:9" x14ac:dyDescent="0.25">
      <c r="I1452" s="10" t="str">
        <f t="shared" si="22"/>
        <v/>
      </c>
    </row>
    <row r="1453" spans="9:9" x14ac:dyDescent="0.25">
      <c r="I1453" s="10" t="str">
        <f t="shared" si="22"/>
        <v/>
      </c>
    </row>
    <row r="1454" spans="9:9" x14ac:dyDescent="0.25">
      <c r="I1454" s="10" t="str">
        <f t="shared" si="22"/>
        <v/>
      </c>
    </row>
    <row r="1455" spans="9:9" x14ac:dyDescent="0.25">
      <c r="I1455" s="10" t="str">
        <f t="shared" si="22"/>
        <v/>
      </c>
    </row>
    <row r="1456" spans="9:9" x14ac:dyDescent="0.25">
      <c r="I1456" s="10" t="str">
        <f t="shared" si="22"/>
        <v/>
      </c>
    </row>
    <row r="1457" spans="9:9" x14ac:dyDescent="0.25">
      <c r="I1457" s="10" t="str">
        <f t="shared" si="22"/>
        <v/>
      </c>
    </row>
    <row r="1458" spans="9:9" x14ac:dyDescent="0.25">
      <c r="I1458" s="10" t="str">
        <f t="shared" si="22"/>
        <v/>
      </c>
    </row>
    <row r="1459" spans="9:9" x14ac:dyDescent="0.25">
      <c r="I1459" s="10" t="str">
        <f t="shared" si="22"/>
        <v/>
      </c>
    </row>
    <row r="1460" spans="9:9" x14ac:dyDescent="0.25">
      <c r="I1460" s="10" t="str">
        <f t="shared" si="22"/>
        <v/>
      </c>
    </row>
    <row r="1461" spans="9:9" x14ac:dyDescent="0.25">
      <c r="I1461" s="10" t="str">
        <f t="shared" si="22"/>
        <v/>
      </c>
    </row>
    <row r="1462" spans="9:9" x14ac:dyDescent="0.25">
      <c r="I1462" s="10" t="str">
        <f t="shared" si="22"/>
        <v/>
      </c>
    </row>
    <row r="1463" spans="9:9" x14ac:dyDescent="0.25">
      <c r="I1463" s="10" t="str">
        <f t="shared" si="22"/>
        <v/>
      </c>
    </row>
    <row r="1464" spans="9:9" x14ac:dyDescent="0.25">
      <c r="I1464" s="10" t="str">
        <f t="shared" si="22"/>
        <v/>
      </c>
    </row>
    <row r="1465" spans="9:9" x14ac:dyDescent="0.25">
      <c r="I1465" s="10" t="str">
        <f t="shared" si="22"/>
        <v/>
      </c>
    </row>
    <row r="1466" spans="9:9" x14ac:dyDescent="0.25">
      <c r="I1466" s="10" t="str">
        <f t="shared" si="22"/>
        <v/>
      </c>
    </row>
    <row r="1467" spans="9:9" x14ac:dyDescent="0.25">
      <c r="I1467" s="10" t="str">
        <f t="shared" si="22"/>
        <v/>
      </c>
    </row>
    <row r="1468" spans="9:9" x14ac:dyDescent="0.25">
      <c r="I1468" s="10" t="str">
        <f t="shared" si="22"/>
        <v/>
      </c>
    </row>
    <row r="1469" spans="9:9" x14ac:dyDescent="0.25">
      <c r="I1469" s="10" t="str">
        <f t="shared" si="22"/>
        <v/>
      </c>
    </row>
    <row r="1470" spans="9:9" x14ac:dyDescent="0.25">
      <c r="I1470" s="10" t="str">
        <f t="shared" si="22"/>
        <v/>
      </c>
    </row>
    <row r="1471" spans="9:9" x14ac:dyDescent="0.25">
      <c r="I1471" s="10" t="str">
        <f t="shared" si="22"/>
        <v/>
      </c>
    </row>
    <row r="1472" spans="9:9" x14ac:dyDescent="0.25">
      <c r="I1472" s="10" t="str">
        <f t="shared" si="22"/>
        <v/>
      </c>
    </row>
    <row r="1473" spans="9:9" x14ac:dyDescent="0.25">
      <c r="I1473" s="10" t="str">
        <f t="shared" si="22"/>
        <v/>
      </c>
    </row>
    <row r="1474" spans="9:9" x14ac:dyDescent="0.25">
      <c r="I1474" s="10" t="str">
        <f t="shared" si="22"/>
        <v/>
      </c>
    </row>
    <row r="1475" spans="9:9" x14ac:dyDescent="0.25">
      <c r="I1475" s="10" t="str">
        <f t="shared" ref="I1475:I1538" si="23">IFERROR(DATEVALUE(D1475),"")</f>
        <v/>
      </c>
    </row>
    <row r="1476" spans="9:9" x14ac:dyDescent="0.25">
      <c r="I1476" s="10" t="str">
        <f t="shared" si="23"/>
        <v/>
      </c>
    </row>
    <row r="1477" spans="9:9" x14ac:dyDescent="0.25">
      <c r="I1477" s="10" t="str">
        <f t="shared" si="23"/>
        <v/>
      </c>
    </row>
    <row r="1478" spans="9:9" x14ac:dyDescent="0.25">
      <c r="I1478" s="10" t="str">
        <f t="shared" si="23"/>
        <v/>
      </c>
    </row>
    <row r="1479" spans="9:9" x14ac:dyDescent="0.25">
      <c r="I1479" s="10" t="str">
        <f t="shared" si="23"/>
        <v/>
      </c>
    </row>
    <row r="1480" spans="9:9" x14ac:dyDescent="0.25">
      <c r="I1480" s="10" t="str">
        <f t="shared" si="23"/>
        <v/>
      </c>
    </row>
    <row r="1481" spans="9:9" x14ac:dyDescent="0.25">
      <c r="I1481" s="10" t="str">
        <f t="shared" si="23"/>
        <v/>
      </c>
    </row>
    <row r="1482" spans="9:9" x14ac:dyDescent="0.25">
      <c r="I1482" s="10" t="str">
        <f t="shared" si="23"/>
        <v/>
      </c>
    </row>
    <row r="1483" spans="9:9" x14ac:dyDescent="0.25">
      <c r="I1483" s="10" t="str">
        <f t="shared" si="23"/>
        <v/>
      </c>
    </row>
    <row r="1484" spans="9:9" x14ac:dyDescent="0.25">
      <c r="I1484" s="10" t="str">
        <f t="shared" si="23"/>
        <v/>
      </c>
    </row>
    <row r="1485" spans="9:9" x14ac:dyDescent="0.25">
      <c r="I1485" s="10" t="str">
        <f t="shared" si="23"/>
        <v/>
      </c>
    </row>
    <row r="1486" spans="9:9" x14ac:dyDescent="0.25">
      <c r="I1486" s="10" t="str">
        <f t="shared" si="23"/>
        <v/>
      </c>
    </row>
    <row r="1487" spans="9:9" x14ac:dyDescent="0.25">
      <c r="I1487" s="10" t="str">
        <f t="shared" si="23"/>
        <v/>
      </c>
    </row>
    <row r="1488" spans="9:9" x14ac:dyDescent="0.25">
      <c r="I1488" s="10" t="str">
        <f t="shared" si="23"/>
        <v/>
      </c>
    </row>
    <row r="1489" spans="9:9" x14ac:dyDescent="0.25">
      <c r="I1489" s="10" t="str">
        <f t="shared" si="23"/>
        <v/>
      </c>
    </row>
    <row r="1490" spans="9:9" x14ac:dyDescent="0.25">
      <c r="I1490" s="10" t="str">
        <f t="shared" si="23"/>
        <v/>
      </c>
    </row>
    <row r="1491" spans="9:9" x14ac:dyDescent="0.25">
      <c r="I1491" s="10" t="str">
        <f t="shared" si="23"/>
        <v/>
      </c>
    </row>
    <row r="1492" spans="9:9" x14ac:dyDescent="0.25">
      <c r="I1492" s="10" t="str">
        <f t="shared" si="23"/>
        <v/>
      </c>
    </row>
    <row r="1493" spans="9:9" x14ac:dyDescent="0.25">
      <c r="I1493" s="10" t="str">
        <f t="shared" si="23"/>
        <v/>
      </c>
    </row>
    <row r="1494" spans="9:9" x14ac:dyDescent="0.25">
      <c r="I1494" s="10" t="str">
        <f t="shared" si="23"/>
        <v/>
      </c>
    </row>
    <row r="1495" spans="9:9" x14ac:dyDescent="0.25">
      <c r="I1495" s="10" t="str">
        <f t="shared" si="23"/>
        <v/>
      </c>
    </row>
    <row r="1496" spans="9:9" x14ac:dyDescent="0.25">
      <c r="I1496" s="10" t="str">
        <f t="shared" si="23"/>
        <v/>
      </c>
    </row>
    <row r="1497" spans="9:9" x14ac:dyDescent="0.25">
      <c r="I1497" s="10" t="str">
        <f t="shared" si="23"/>
        <v/>
      </c>
    </row>
    <row r="1498" spans="9:9" x14ac:dyDescent="0.25">
      <c r="I1498" s="10" t="str">
        <f t="shared" si="23"/>
        <v/>
      </c>
    </row>
    <row r="1499" spans="9:9" x14ac:dyDescent="0.25">
      <c r="I1499" s="10" t="str">
        <f t="shared" si="23"/>
        <v/>
      </c>
    </row>
    <row r="1500" spans="9:9" x14ac:dyDescent="0.25">
      <c r="I1500" s="10" t="str">
        <f t="shared" si="23"/>
        <v/>
      </c>
    </row>
    <row r="1501" spans="9:9" x14ac:dyDescent="0.25">
      <c r="I1501" s="10" t="str">
        <f t="shared" si="23"/>
        <v/>
      </c>
    </row>
    <row r="1502" spans="9:9" x14ac:dyDescent="0.25">
      <c r="I1502" s="10" t="str">
        <f t="shared" si="23"/>
        <v/>
      </c>
    </row>
    <row r="1503" spans="9:9" x14ac:dyDescent="0.25">
      <c r="I1503" s="10" t="str">
        <f t="shared" si="23"/>
        <v/>
      </c>
    </row>
    <row r="1504" spans="9:9" x14ac:dyDescent="0.25">
      <c r="I1504" s="10" t="str">
        <f t="shared" si="23"/>
        <v/>
      </c>
    </row>
    <row r="1505" spans="9:9" x14ac:dyDescent="0.25">
      <c r="I1505" s="10" t="str">
        <f t="shared" si="23"/>
        <v/>
      </c>
    </row>
    <row r="1506" spans="9:9" x14ac:dyDescent="0.25">
      <c r="I1506" s="10" t="str">
        <f t="shared" si="23"/>
        <v/>
      </c>
    </row>
    <row r="1507" spans="9:9" x14ac:dyDescent="0.25">
      <c r="I1507" s="10" t="str">
        <f t="shared" si="23"/>
        <v/>
      </c>
    </row>
    <row r="1508" spans="9:9" x14ac:dyDescent="0.25">
      <c r="I1508" s="10" t="str">
        <f t="shared" si="23"/>
        <v/>
      </c>
    </row>
    <row r="1509" spans="9:9" x14ac:dyDescent="0.25">
      <c r="I1509" s="10" t="str">
        <f t="shared" si="23"/>
        <v/>
      </c>
    </row>
    <row r="1510" spans="9:9" x14ac:dyDescent="0.25">
      <c r="I1510" s="10" t="str">
        <f t="shared" si="23"/>
        <v/>
      </c>
    </row>
    <row r="1511" spans="9:9" x14ac:dyDescent="0.25">
      <c r="I1511" s="10" t="str">
        <f t="shared" si="23"/>
        <v/>
      </c>
    </row>
    <row r="1512" spans="9:9" x14ac:dyDescent="0.25">
      <c r="I1512" s="10" t="str">
        <f t="shared" si="23"/>
        <v/>
      </c>
    </row>
    <row r="1513" spans="9:9" x14ac:dyDescent="0.25">
      <c r="I1513" s="10" t="str">
        <f t="shared" si="23"/>
        <v/>
      </c>
    </row>
    <row r="1514" spans="9:9" x14ac:dyDescent="0.25">
      <c r="I1514" s="10" t="str">
        <f t="shared" si="23"/>
        <v/>
      </c>
    </row>
    <row r="1515" spans="9:9" x14ac:dyDescent="0.25">
      <c r="I1515" s="10" t="str">
        <f t="shared" si="23"/>
        <v/>
      </c>
    </row>
    <row r="1516" spans="9:9" x14ac:dyDescent="0.25">
      <c r="I1516" s="10" t="str">
        <f t="shared" si="23"/>
        <v/>
      </c>
    </row>
    <row r="1517" spans="9:9" x14ac:dyDescent="0.25">
      <c r="I1517" s="10" t="str">
        <f t="shared" si="23"/>
        <v/>
      </c>
    </row>
    <row r="1518" spans="9:9" x14ac:dyDescent="0.25">
      <c r="I1518" s="10" t="str">
        <f t="shared" si="23"/>
        <v/>
      </c>
    </row>
    <row r="1519" spans="9:9" x14ac:dyDescent="0.25">
      <c r="I1519" s="10" t="str">
        <f t="shared" si="23"/>
        <v/>
      </c>
    </row>
    <row r="1520" spans="9:9" x14ac:dyDescent="0.25">
      <c r="I1520" s="10" t="str">
        <f t="shared" si="23"/>
        <v/>
      </c>
    </row>
    <row r="1521" spans="9:9" x14ac:dyDescent="0.25">
      <c r="I1521" s="10" t="str">
        <f t="shared" si="23"/>
        <v/>
      </c>
    </row>
    <row r="1522" spans="9:9" x14ac:dyDescent="0.25">
      <c r="I1522" s="10" t="str">
        <f t="shared" si="23"/>
        <v/>
      </c>
    </row>
    <row r="1523" spans="9:9" x14ac:dyDescent="0.25">
      <c r="I1523" s="10" t="str">
        <f t="shared" si="23"/>
        <v/>
      </c>
    </row>
    <row r="1524" spans="9:9" x14ac:dyDescent="0.25">
      <c r="I1524" s="10" t="str">
        <f t="shared" si="23"/>
        <v/>
      </c>
    </row>
    <row r="1525" spans="9:9" x14ac:dyDescent="0.25">
      <c r="I1525" s="10" t="str">
        <f t="shared" si="23"/>
        <v/>
      </c>
    </row>
    <row r="1526" spans="9:9" x14ac:dyDescent="0.25">
      <c r="I1526" s="10" t="str">
        <f t="shared" si="23"/>
        <v/>
      </c>
    </row>
    <row r="1527" spans="9:9" x14ac:dyDescent="0.25">
      <c r="I1527" s="10" t="str">
        <f t="shared" si="23"/>
        <v/>
      </c>
    </row>
    <row r="1528" spans="9:9" x14ac:dyDescent="0.25">
      <c r="I1528" s="10" t="str">
        <f t="shared" si="23"/>
        <v/>
      </c>
    </row>
    <row r="1529" spans="9:9" x14ac:dyDescent="0.25">
      <c r="I1529" s="10" t="str">
        <f t="shared" si="23"/>
        <v/>
      </c>
    </row>
    <row r="1530" spans="9:9" x14ac:dyDescent="0.25">
      <c r="I1530" s="10" t="str">
        <f t="shared" si="23"/>
        <v/>
      </c>
    </row>
    <row r="1531" spans="9:9" x14ac:dyDescent="0.25">
      <c r="I1531" s="10" t="str">
        <f t="shared" si="23"/>
        <v/>
      </c>
    </row>
    <row r="1532" spans="9:9" x14ac:dyDescent="0.25">
      <c r="I1532" s="10" t="str">
        <f t="shared" si="23"/>
        <v/>
      </c>
    </row>
    <row r="1533" spans="9:9" x14ac:dyDescent="0.25">
      <c r="I1533" s="10" t="str">
        <f t="shared" si="23"/>
        <v/>
      </c>
    </row>
    <row r="1534" spans="9:9" x14ac:dyDescent="0.25">
      <c r="I1534" s="10" t="str">
        <f t="shared" si="23"/>
        <v/>
      </c>
    </row>
    <row r="1535" spans="9:9" x14ac:dyDescent="0.25">
      <c r="I1535" s="10" t="str">
        <f t="shared" si="23"/>
        <v/>
      </c>
    </row>
    <row r="1536" spans="9:9" x14ac:dyDescent="0.25">
      <c r="I1536" s="10" t="str">
        <f t="shared" si="23"/>
        <v/>
      </c>
    </row>
    <row r="1537" spans="9:9" x14ac:dyDescent="0.25">
      <c r="I1537" s="10" t="str">
        <f t="shared" si="23"/>
        <v/>
      </c>
    </row>
    <row r="1538" spans="9:9" x14ac:dyDescent="0.25">
      <c r="I1538" s="10" t="str">
        <f t="shared" si="23"/>
        <v/>
      </c>
    </row>
    <row r="1539" spans="9:9" x14ac:dyDescent="0.25">
      <c r="I1539" s="10" t="str">
        <f t="shared" ref="I1539:I1602" si="24">IFERROR(DATEVALUE(D1539),"")</f>
        <v/>
      </c>
    </row>
    <row r="1540" spans="9:9" x14ac:dyDescent="0.25">
      <c r="I1540" s="10" t="str">
        <f t="shared" si="24"/>
        <v/>
      </c>
    </row>
    <row r="1541" spans="9:9" x14ac:dyDescent="0.25">
      <c r="I1541" s="10" t="str">
        <f t="shared" si="24"/>
        <v/>
      </c>
    </row>
    <row r="1542" spans="9:9" x14ac:dyDescent="0.25">
      <c r="I1542" s="10" t="str">
        <f t="shared" si="24"/>
        <v/>
      </c>
    </row>
    <row r="1543" spans="9:9" x14ac:dyDescent="0.25">
      <c r="I1543" s="10" t="str">
        <f t="shared" si="24"/>
        <v/>
      </c>
    </row>
    <row r="1544" spans="9:9" x14ac:dyDescent="0.25">
      <c r="I1544" s="10" t="str">
        <f t="shared" si="24"/>
        <v/>
      </c>
    </row>
    <row r="1545" spans="9:9" x14ac:dyDescent="0.25">
      <c r="I1545" s="10" t="str">
        <f t="shared" si="24"/>
        <v/>
      </c>
    </row>
    <row r="1546" spans="9:9" x14ac:dyDescent="0.25">
      <c r="I1546" s="10" t="str">
        <f t="shared" si="24"/>
        <v/>
      </c>
    </row>
    <row r="1547" spans="9:9" x14ac:dyDescent="0.25">
      <c r="I1547" s="10" t="str">
        <f t="shared" si="24"/>
        <v/>
      </c>
    </row>
    <row r="1548" spans="9:9" x14ac:dyDescent="0.25">
      <c r="I1548" s="10" t="str">
        <f t="shared" si="24"/>
        <v/>
      </c>
    </row>
    <row r="1549" spans="9:9" x14ac:dyDescent="0.25">
      <c r="I1549" s="10" t="str">
        <f t="shared" si="24"/>
        <v/>
      </c>
    </row>
    <row r="1550" spans="9:9" x14ac:dyDescent="0.25">
      <c r="I1550" s="10" t="str">
        <f t="shared" si="24"/>
        <v/>
      </c>
    </row>
    <row r="1551" spans="9:9" x14ac:dyDescent="0.25">
      <c r="I1551" s="10" t="str">
        <f t="shared" si="24"/>
        <v/>
      </c>
    </row>
    <row r="1552" spans="9:9" x14ac:dyDescent="0.25">
      <c r="I1552" s="10" t="str">
        <f t="shared" si="24"/>
        <v/>
      </c>
    </row>
    <row r="1553" spans="9:9" x14ac:dyDescent="0.25">
      <c r="I1553" s="10" t="str">
        <f t="shared" si="24"/>
        <v/>
      </c>
    </row>
    <row r="1554" spans="9:9" x14ac:dyDescent="0.25">
      <c r="I1554" s="10" t="str">
        <f t="shared" si="24"/>
        <v/>
      </c>
    </row>
    <row r="1555" spans="9:9" x14ac:dyDescent="0.25">
      <c r="I1555" s="10" t="str">
        <f t="shared" si="24"/>
        <v/>
      </c>
    </row>
    <row r="1556" spans="9:9" x14ac:dyDescent="0.25">
      <c r="I1556" s="10" t="str">
        <f t="shared" si="24"/>
        <v/>
      </c>
    </row>
    <row r="1557" spans="9:9" x14ac:dyDescent="0.25">
      <c r="I1557" s="10" t="str">
        <f t="shared" si="24"/>
        <v/>
      </c>
    </row>
    <row r="1558" spans="9:9" x14ac:dyDescent="0.25">
      <c r="I1558" s="10" t="str">
        <f t="shared" si="24"/>
        <v/>
      </c>
    </row>
    <row r="1559" spans="9:9" x14ac:dyDescent="0.25">
      <c r="I1559" s="10" t="str">
        <f t="shared" si="24"/>
        <v/>
      </c>
    </row>
    <row r="1560" spans="9:9" x14ac:dyDescent="0.25">
      <c r="I1560" s="10" t="str">
        <f t="shared" si="24"/>
        <v/>
      </c>
    </row>
    <row r="1561" spans="9:9" x14ac:dyDescent="0.25">
      <c r="I1561" s="10" t="str">
        <f t="shared" si="24"/>
        <v/>
      </c>
    </row>
    <row r="1562" spans="9:9" x14ac:dyDescent="0.25">
      <c r="I1562" s="10" t="str">
        <f t="shared" si="24"/>
        <v/>
      </c>
    </row>
    <row r="1563" spans="9:9" x14ac:dyDescent="0.25">
      <c r="I1563" s="10" t="str">
        <f t="shared" si="24"/>
        <v/>
      </c>
    </row>
    <row r="1564" spans="9:9" x14ac:dyDescent="0.25">
      <c r="I1564" s="10" t="str">
        <f t="shared" si="24"/>
        <v/>
      </c>
    </row>
    <row r="1565" spans="9:9" x14ac:dyDescent="0.25">
      <c r="I1565" s="10" t="str">
        <f t="shared" si="24"/>
        <v/>
      </c>
    </row>
    <row r="1566" spans="9:9" x14ac:dyDescent="0.25">
      <c r="I1566" s="10" t="str">
        <f t="shared" si="24"/>
        <v/>
      </c>
    </row>
    <row r="1567" spans="9:9" x14ac:dyDescent="0.25">
      <c r="I1567" s="10" t="str">
        <f t="shared" si="24"/>
        <v/>
      </c>
    </row>
    <row r="1568" spans="9:9" x14ac:dyDescent="0.25">
      <c r="I1568" s="10" t="str">
        <f t="shared" si="24"/>
        <v/>
      </c>
    </row>
    <row r="1569" spans="9:9" x14ac:dyDescent="0.25">
      <c r="I1569" s="10" t="str">
        <f t="shared" si="24"/>
        <v/>
      </c>
    </row>
    <row r="1570" spans="9:9" x14ac:dyDescent="0.25">
      <c r="I1570" s="10" t="str">
        <f t="shared" si="24"/>
        <v/>
      </c>
    </row>
    <row r="1571" spans="9:9" x14ac:dyDescent="0.25">
      <c r="I1571" s="10" t="str">
        <f t="shared" si="24"/>
        <v/>
      </c>
    </row>
    <row r="1572" spans="9:9" x14ac:dyDescent="0.25">
      <c r="I1572" s="10" t="str">
        <f t="shared" si="24"/>
        <v/>
      </c>
    </row>
    <row r="1573" spans="9:9" x14ac:dyDescent="0.25">
      <c r="I1573" s="10" t="str">
        <f t="shared" si="24"/>
        <v/>
      </c>
    </row>
    <row r="1574" spans="9:9" x14ac:dyDescent="0.25">
      <c r="I1574" s="10" t="str">
        <f t="shared" si="24"/>
        <v/>
      </c>
    </row>
    <row r="1575" spans="9:9" x14ac:dyDescent="0.25">
      <c r="I1575" s="10" t="str">
        <f t="shared" si="24"/>
        <v/>
      </c>
    </row>
    <row r="1576" spans="9:9" x14ac:dyDescent="0.25">
      <c r="I1576" s="10" t="str">
        <f t="shared" si="24"/>
        <v/>
      </c>
    </row>
    <row r="1577" spans="9:9" x14ac:dyDescent="0.25">
      <c r="I1577" s="10" t="str">
        <f t="shared" si="24"/>
        <v/>
      </c>
    </row>
    <row r="1578" spans="9:9" x14ac:dyDescent="0.25">
      <c r="I1578" s="10" t="str">
        <f t="shared" si="24"/>
        <v/>
      </c>
    </row>
    <row r="1579" spans="9:9" x14ac:dyDescent="0.25">
      <c r="I1579" s="10" t="str">
        <f t="shared" si="24"/>
        <v/>
      </c>
    </row>
    <row r="1580" spans="9:9" x14ac:dyDescent="0.25">
      <c r="I1580" s="10" t="str">
        <f t="shared" si="24"/>
        <v/>
      </c>
    </row>
    <row r="1581" spans="9:9" x14ac:dyDescent="0.25">
      <c r="I1581" s="10" t="str">
        <f t="shared" si="24"/>
        <v/>
      </c>
    </row>
    <row r="1582" spans="9:9" x14ac:dyDescent="0.25">
      <c r="I1582" s="10" t="str">
        <f t="shared" si="24"/>
        <v/>
      </c>
    </row>
    <row r="1583" spans="9:9" x14ac:dyDescent="0.25">
      <c r="I1583" s="10" t="str">
        <f t="shared" si="24"/>
        <v/>
      </c>
    </row>
    <row r="1584" spans="9:9" x14ac:dyDescent="0.25">
      <c r="I1584" s="10" t="str">
        <f t="shared" si="24"/>
        <v/>
      </c>
    </row>
    <row r="1585" spans="9:9" x14ac:dyDescent="0.25">
      <c r="I1585" s="10" t="str">
        <f t="shared" si="24"/>
        <v/>
      </c>
    </row>
    <row r="1586" spans="9:9" x14ac:dyDescent="0.25">
      <c r="I1586" s="10" t="str">
        <f t="shared" si="24"/>
        <v/>
      </c>
    </row>
    <row r="1587" spans="9:9" x14ac:dyDescent="0.25">
      <c r="I1587" s="10" t="str">
        <f t="shared" si="24"/>
        <v/>
      </c>
    </row>
    <row r="1588" spans="9:9" x14ac:dyDescent="0.25">
      <c r="I1588" s="10" t="str">
        <f t="shared" si="24"/>
        <v/>
      </c>
    </row>
    <row r="1589" spans="9:9" x14ac:dyDescent="0.25">
      <c r="I1589" s="10" t="str">
        <f t="shared" si="24"/>
        <v/>
      </c>
    </row>
    <row r="1590" spans="9:9" x14ac:dyDescent="0.25">
      <c r="I1590" s="10" t="str">
        <f t="shared" si="24"/>
        <v/>
      </c>
    </row>
    <row r="1591" spans="9:9" x14ac:dyDescent="0.25">
      <c r="I1591" s="10" t="str">
        <f t="shared" si="24"/>
        <v/>
      </c>
    </row>
    <row r="1592" spans="9:9" x14ac:dyDescent="0.25">
      <c r="I1592" s="10" t="str">
        <f t="shared" si="24"/>
        <v/>
      </c>
    </row>
    <row r="1593" spans="9:9" x14ac:dyDescent="0.25">
      <c r="I1593" s="10" t="str">
        <f t="shared" si="24"/>
        <v/>
      </c>
    </row>
    <row r="1594" spans="9:9" x14ac:dyDescent="0.25">
      <c r="I1594" s="10" t="str">
        <f t="shared" si="24"/>
        <v/>
      </c>
    </row>
    <row r="1595" spans="9:9" x14ac:dyDescent="0.25">
      <c r="I1595" s="10" t="str">
        <f t="shared" si="24"/>
        <v/>
      </c>
    </row>
    <row r="1596" spans="9:9" x14ac:dyDescent="0.25">
      <c r="I1596" s="10" t="str">
        <f t="shared" si="24"/>
        <v/>
      </c>
    </row>
    <row r="1597" spans="9:9" x14ac:dyDescent="0.25">
      <c r="I1597" s="10" t="str">
        <f t="shared" si="24"/>
        <v/>
      </c>
    </row>
    <row r="1598" spans="9:9" x14ac:dyDescent="0.25">
      <c r="I1598" s="10" t="str">
        <f t="shared" si="24"/>
        <v/>
      </c>
    </row>
    <row r="1599" spans="9:9" x14ac:dyDescent="0.25">
      <c r="I1599" s="10" t="str">
        <f t="shared" si="24"/>
        <v/>
      </c>
    </row>
    <row r="1600" spans="9:9" x14ac:dyDescent="0.25">
      <c r="I1600" s="10" t="str">
        <f t="shared" si="24"/>
        <v/>
      </c>
    </row>
    <row r="1601" spans="9:9" x14ac:dyDescent="0.25">
      <c r="I1601" s="10" t="str">
        <f t="shared" si="24"/>
        <v/>
      </c>
    </row>
    <row r="1602" spans="9:9" x14ac:dyDescent="0.25">
      <c r="I1602" s="10" t="str">
        <f t="shared" si="24"/>
        <v/>
      </c>
    </row>
    <row r="1603" spans="9:9" x14ac:dyDescent="0.25">
      <c r="I1603" s="10" t="str">
        <f t="shared" ref="I1603:I1666" si="25">IFERROR(DATEVALUE(D1603),"")</f>
        <v/>
      </c>
    </row>
    <row r="1604" spans="9:9" x14ac:dyDescent="0.25">
      <c r="I1604" s="10" t="str">
        <f t="shared" si="25"/>
        <v/>
      </c>
    </row>
    <row r="1605" spans="9:9" x14ac:dyDescent="0.25">
      <c r="I1605" s="10" t="str">
        <f t="shared" si="25"/>
        <v/>
      </c>
    </row>
    <row r="1606" spans="9:9" x14ac:dyDescent="0.25">
      <c r="I1606" s="10" t="str">
        <f t="shared" si="25"/>
        <v/>
      </c>
    </row>
    <row r="1607" spans="9:9" x14ac:dyDescent="0.25">
      <c r="I1607" s="10" t="str">
        <f t="shared" si="25"/>
        <v/>
      </c>
    </row>
    <row r="1608" spans="9:9" x14ac:dyDescent="0.25">
      <c r="I1608" s="10" t="str">
        <f t="shared" si="25"/>
        <v/>
      </c>
    </row>
    <row r="1609" spans="9:9" x14ac:dyDescent="0.25">
      <c r="I1609" s="10" t="str">
        <f t="shared" si="25"/>
        <v/>
      </c>
    </row>
    <row r="1610" spans="9:9" x14ac:dyDescent="0.25">
      <c r="I1610" s="10" t="str">
        <f t="shared" si="25"/>
        <v/>
      </c>
    </row>
    <row r="1611" spans="9:9" x14ac:dyDescent="0.25">
      <c r="I1611" s="10" t="str">
        <f t="shared" si="25"/>
        <v/>
      </c>
    </row>
    <row r="1612" spans="9:9" x14ac:dyDescent="0.25">
      <c r="I1612" s="10" t="str">
        <f t="shared" si="25"/>
        <v/>
      </c>
    </row>
    <row r="1613" spans="9:9" x14ac:dyDescent="0.25">
      <c r="I1613" s="10" t="str">
        <f t="shared" si="25"/>
        <v/>
      </c>
    </row>
    <row r="1614" spans="9:9" x14ac:dyDescent="0.25">
      <c r="I1614" s="10" t="str">
        <f t="shared" si="25"/>
        <v/>
      </c>
    </row>
    <row r="1615" spans="9:9" x14ac:dyDescent="0.25">
      <c r="I1615" s="10" t="str">
        <f t="shared" si="25"/>
        <v/>
      </c>
    </row>
    <row r="1616" spans="9:9" x14ac:dyDescent="0.25">
      <c r="I1616" s="10" t="str">
        <f t="shared" si="25"/>
        <v/>
      </c>
    </row>
    <row r="1617" spans="9:9" x14ac:dyDescent="0.25">
      <c r="I1617" s="10" t="str">
        <f t="shared" si="25"/>
        <v/>
      </c>
    </row>
    <row r="1618" spans="9:9" x14ac:dyDescent="0.25">
      <c r="I1618" s="10" t="str">
        <f t="shared" si="25"/>
        <v/>
      </c>
    </row>
    <row r="1619" spans="9:9" x14ac:dyDescent="0.25">
      <c r="I1619" s="10" t="str">
        <f t="shared" si="25"/>
        <v/>
      </c>
    </row>
    <row r="1620" spans="9:9" x14ac:dyDescent="0.25">
      <c r="I1620" s="10" t="str">
        <f t="shared" si="25"/>
        <v/>
      </c>
    </row>
    <row r="1621" spans="9:9" x14ac:dyDescent="0.25">
      <c r="I1621" s="10" t="str">
        <f t="shared" si="25"/>
        <v/>
      </c>
    </row>
    <row r="1622" spans="9:9" x14ac:dyDescent="0.25">
      <c r="I1622" s="10" t="str">
        <f t="shared" si="25"/>
        <v/>
      </c>
    </row>
    <row r="1623" spans="9:9" x14ac:dyDescent="0.25">
      <c r="I1623" s="10" t="str">
        <f t="shared" si="25"/>
        <v/>
      </c>
    </row>
    <row r="1624" spans="9:9" x14ac:dyDescent="0.25">
      <c r="I1624" s="10" t="str">
        <f t="shared" si="25"/>
        <v/>
      </c>
    </row>
    <row r="1625" spans="9:9" x14ac:dyDescent="0.25">
      <c r="I1625" s="10" t="str">
        <f t="shared" si="25"/>
        <v/>
      </c>
    </row>
    <row r="1626" spans="9:9" x14ac:dyDescent="0.25">
      <c r="I1626" s="10" t="str">
        <f t="shared" si="25"/>
        <v/>
      </c>
    </row>
    <row r="1627" spans="9:9" x14ac:dyDescent="0.25">
      <c r="I1627" s="10" t="str">
        <f t="shared" si="25"/>
        <v/>
      </c>
    </row>
    <row r="1628" spans="9:9" x14ac:dyDescent="0.25">
      <c r="I1628" s="10" t="str">
        <f t="shared" si="25"/>
        <v/>
      </c>
    </row>
    <row r="1629" spans="9:9" x14ac:dyDescent="0.25">
      <c r="I1629" s="10" t="str">
        <f t="shared" si="25"/>
        <v/>
      </c>
    </row>
    <row r="1630" spans="9:9" x14ac:dyDescent="0.25">
      <c r="I1630" s="10" t="str">
        <f t="shared" si="25"/>
        <v/>
      </c>
    </row>
    <row r="1631" spans="9:9" x14ac:dyDescent="0.25">
      <c r="I1631" s="10" t="str">
        <f t="shared" si="25"/>
        <v/>
      </c>
    </row>
    <row r="1632" spans="9:9" x14ac:dyDescent="0.25">
      <c r="I1632" s="10" t="str">
        <f t="shared" si="25"/>
        <v/>
      </c>
    </row>
    <row r="1633" spans="9:9" x14ac:dyDescent="0.25">
      <c r="I1633" s="10" t="str">
        <f t="shared" si="25"/>
        <v/>
      </c>
    </row>
    <row r="1634" spans="9:9" x14ac:dyDescent="0.25">
      <c r="I1634" s="10" t="str">
        <f t="shared" si="25"/>
        <v/>
      </c>
    </row>
    <row r="1635" spans="9:9" x14ac:dyDescent="0.25">
      <c r="I1635" s="10" t="str">
        <f t="shared" si="25"/>
        <v/>
      </c>
    </row>
    <row r="1636" spans="9:9" x14ac:dyDescent="0.25">
      <c r="I1636" s="10" t="str">
        <f t="shared" si="25"/>
        <v/>
      </c>
    </row>
    <row r="1637" spans="9:9" x14ac:dyDescent="0.25">
      <c r="I1637" s="10" t="str">
        <f t="shared" si="25"/>
        <v/>
      </c>
    </row>
    <row r="1638" spans="9:9" x14ac:dyDescent="0.25">
      <c r="I1638" s="10" t="str">
        <f t="shared" si="25"/>
        <v/>
      </c>
    </row>
    <row r="1639" spans="9:9" x14ac:dyDescent="0.25">
      <c r="I1639" s="10" t="str">
        <f t="shared" si="25"/>
        <v/>
      </c>
    </row>
    <row r="1640" spans="9:9" x14ac:dyDescent="0.25">
      <c r="I1640" s="10" t="str">
        <f t="shared" si="25"/>
        <v/>
      </c>
    </row>
    <row r="1641" spans="9:9" x14ac:dyDescent="0.25">
      <c r="I1641" s="10" t="str">
        <f t="shared" si="25"/>
        <v/>
      </c>
    </row>
    <row r="1642" spans="9:9" x14ac:dyDescent="0.25">
      <c r="I1642" s="10" t="str">
        <f t="shared" si="25"/>
        <v/>
      </c>
    </row>
    <row r="1643" spans="9:9" x14ac:dyDescent="0.25">
      <c r="I1643" s="10" t="str">
        <f t="shared" si="25"/>
        <v/>
      </c>
    </row>
    <row r="1644" spans="9:9" x14ac:dyDescent="0.25">
      <c r="I1644" s="10" t="str">
        <f t="shared" si="25"/>
        <v/>
      </c>
    </row>
    <row r="1645" spans="9:9" x14ac:dyDescent="0.25">
      <c r="I1645" s="10" t="str">
        <f t="shared" si="25"/>
        <v/>
      </c>
    </row>
    <row r="1646" spans="9:9" x14ac:dyDescent="0.25">
      <c r="I1646" s="10" t="str">
        <f t="shared" si="25"/>
        <v/>
      </c>
    </row>
    <row r="1647" spans="9:9" x14ac:dyDescent="0.25">
      <c r="I1647" s="10" t="str">
        <f t="shared" si="25"/>
        <v/>
      </c>
    </row>
    <row r="1648" spans="9:9" x14ac:dyDescent="0.25">
      <c r="I1648" s="10" t="str">
        <f t="shared" si="25"/>
        <v/>
      </c>
    </row>
    <row r="1649" spans="9:9" x14ac:dyDescent="0.25">
      <c r="I1649" s="10" t="str">
        <f t="shared" si="25"/>
        <v/>
      </c>
    </row>
    <row r="1650" spans="9:9" x14ac:dyDescent="0.25">
      <c r="I1650" s="10" t="str">
        <f t="shared" si="25"/>
        <v/>
      </c>
    </row>
    <row r="1651" spans="9:9" x14ac:dyDescent="0.25">
      <c r="I1651" s="10" t="str">
        <f t="shared" si="25"/>
        <v/>
      </c>
    </row>
    <row r="1652" spans="9:9" x14ac:dyDescent="0.25">
      <c r="I1652" s="10" t="str">
        <f t="shared" si="25"/>
        <v/>
      </c>
    </row>
    <row r="1653" spans="9:9" x14ac:dyDescent="0.25">
      <c r="I1653" s="10" t="str">
        <f t="shared" si="25"/>
        <v/>
      </c>
    </row>
    <row r="1654" spans="9:9" x14ac:dyDescent="0.25">
      <c r="I1654" s="10" t="str">
        <f t="shared" si="25"/>
        <v/>
      </c>
    </row>
    <row r="1655" spans="9:9" x14ac:dyDescent="0.25">
      <c r="I1655" s="10" t="str">
        <f t="shared" si="25"/>
        <v/>
      </c>
    </row>
    <row r="1656" spans="9:9" x14ac:dyDescent="0.25">
      <c r="I1656" s="10" t="str">
        <f t="shared" si="25"/>
        <v/>
      </c>
    </row>
    <row r="1657" spans="9:9" x14ac:dyDescent="0.25">
      <c r="I1657" s="10" t="str">
        <f t="shared" si="25"/>
        <v/>
      </c>
    </row>
    <row r="1658" spans="9:9" x14ac:dyDescent="0.25">
      <c r="I1658" s="10" t="str">
        <f t="shared" si="25"/>
        <v/>
      </c>
    </row>
    <row r="1659" spans="9:9" x14ac:dyDescent="0.25">
      <c r="I1659" s="10" t="str">
        <f t="shared" si="25"/>
        <v/>
      </c>
    </row>
    <row r="1660" spans="9:9" x14ac:dyDescent="0.25">
      <c r="I1660" s="10" t="str">
        <f t="shared" si="25"/>
        <v/>
      </c>
    </row>
    <row r="1661" spans="9:9" x14ac:dyDescent="0.25">
      <c r="I1661" s="10" t="str">
        <f t="shared" si="25"/>
        <v/>
      </c>
    </row>
    <row r="1662" spans="9:9" x14ac:dyDescent="0.25">
      <c r="I1662" s="10" t="str">
        <f t="shared" si="25"/>
        <v/>
      </c>
    </row>
    <row r="1663" spans="9:9" x14ac:dyDescent="0.25">
      <c r="I1663" s="10" t="str">
        <f t="shared" si="25"/>
        <v/>
      </c>
    </row>
    <row r="1664" spans="9:9" x14ac:dyDescent="0.25">
      <c r="I1664" s="10" t="str">
        <f t="shared" si="25"/>
        <v/>
      </c>
    </row>
    <row r="1665" spans="9:9" x14ac:dyDescent="0.25">
      <c r="I1665" s="10" t="str">
        <f t="shared" si="25"/>
        <v/>
      </c>
    </row>
    <row r="1666" spans="9:9" x14ac:dyDescent="0.25">
      <c r="I1666" s="10" t="str">
        <f t="shared" si="25"/>
        <v/>
      </c>
    </row>
    <row r="1667" spans="9:9" x14ac:dyDescent="0.25">
      <c r="I1667" s="10" t="str">
        <f t="shared" ref="I1667:I1730" si="26">IFERROR(DATEVALUE(D1667),"")</f>
        <v/>
      </c>
    </row>
    <row r="1668" spans="9:9" x14ac:dyDescent="0.25">
      <c r="I1668" s="10" t="str">
        <f t="shared" si="26"/>
        <v/>
      </c>
    </row>
    <row r="1669" spans="9:9" x14ac:dyDescent="0.25">
      <c r="I1669" s="10" t="str">
        <f t="shared" si="26"/>
        <v/>
      </c>
    </row>
    <row r="1670" spans="9:9" x14ac:dyDescent="0.25">
      <c r="I1670" s="10" t="str">
        <f t="shared" si="26"/>
        <v/>
      </c>
    </row>
    <row r="1671" spans="9:9" x14ac:dyDescent="0.25">
      <c r="I1671" s="10" t="str">
        <f t="shared" si="26"/>
        <v/>
      </c>
    </row>
    <row r="1672" spans="9:9" x14ac:dyDescent="0.25">
      <c r="I1672" s="10" t="str">
        <f t="shared" si="26"/>
        <v/>
      </c>
    </row>
    <row r="1673" spans="9:9" x14ac:dyDescent="0.25">
      <c r="I1673" s="10" t="str">
        <f t="shared" si="26"/>
        <v/>
      </c>
    </row>
    <row r="1674" spans="9:9" x14ac:dyDescent="0.25">
      <c r="I1674" s="10" t="str">
        <f t="shared" si="26"/>
        <v/>
      </c>
    </row>
    <row r="1675" spans="9:9" x14ac:dyDescent="0.25">
      <c r="I1675" s="10" t="str">
        <f t="shared" si="26"/>
        <v/>
      </c>
    </row>
    <row r="1676" spans="9:9" x14ac:dyDescent="0.25">
      <c r="I1676" s="10" t="str">
        <f t="shared" si="26"/>
        <v/>
      </c>
    </row>
    <row r="1677" spans="9:9" x14ac:dyDescent="0.25">
      <c r="I1677" s="10" t="str">
        <f t="shared" si="26"/>
        <v/>
      </c>
    </row>
    <row r="1678" spans="9:9" x14ac:dyDescent="0.25">
      <c r="I1678" s="10" t="str">
        <f t="shared" si="26"/>
        <v/>
      </c>
    </row>
    <row r="1679" spans="9:9" x14ac:dyDescent="0.25">
      <c r="I1679" s="10" t="str">
        <f t="shared" si="26"/>
        <v/>
      </c>
    </row>
    <row r="1680" spans="9:9" x14ac:dyDescent="0.25">
      <c r="I1680" s="10" t="str">
        <f t="shared" si="26"/>
        <v/>
      </c>
    </row>
    <row r="1681" spans="9:9" x14ac:dyDescent="0.25">
      <c r="I1681" s="10" t="str">
        <f t="shared" si="26"/>
        <v/>
      </c>
    </row>
    <row r="1682" spans="9:9" x14ac:dyDescent="0.25">
      <c r="I1682" s="10" t="str">
        <f t="shared" si="26"/>
        <v/>
      </c>
    </row>
    <row r="1683" spans="9:9" x14ac:dyDescent="0.25">
      <c r="I1683" s="10" t="str">
        <f t="shared" si="26"/>
        <v/>
      </c>
    </row>
    <row r="1684" spans="9:9" x14ac:dyDescent="0.25">
      <c r="I1684" s="10" t="str">
        <f t="shared" si="26"/>
        <v/>
      </c>
    </row>
    <row r="1685" spans="9:9" x14ac:dyDescent="0.25">
      <c r="I1685" s="10" t="str">
        <f t="shared" si="26"/>
        <v/>
      </c>
    </row>
    <row r="1686" spans="9:9" x14ac:dyDescent="0.25">
      <c r="I1686" s="10" t="str">
        <f t="shared" si="26"/>
        <v/>
      </c>
    </row>
    <row r="1687" spans="9:9" x14ac:dyDescent="0.25">
      <c r="I1687" s="10" t="str">
        <f t="shared" si="26"/>
        <v/>
      </c>
    </row>
    <row r="1688" spans="9:9" x14ac:dyDescent="0.25">
      <c r="I1688" s="10" t="str">
        <f t="shared" si="26"/>
        <v/>
      </c>
    </row>
    <row r="1689" spans="9:9" x14ac:dyDescent="0.25">
      <c r="I1689" s="10" t="str">
        <f t="shared" si="26"/>
        <v/>
      </c>
    </row>
    <row r="1690" spans="9:9" x14ac:dyDescent="0.25">
      <c r="I1690" s="10" t="str">
        <f t="shared" si="26"/>
        <v/>
      </c>
    </row>
    <row r="1691" spans="9:9" x14ac:dyDescent="0.25">
      <c r="I1691" s="10" t="str">
        <f t="shared" si="26"/>
        <v/>
      </c>
    </row>
    <row r="1692" spans="9:9" x14ac:dyDescent="0.25">
      <c r="I1692" s="10" t="str">
        <f t="shared" si="26"/>
        <v/>
      </c>
    </row>
    <row r="1693" spans="9:9" x14ac:dyDescent="0.25">
      <c r="I1693" s="10" t="str">
        <f t="shared" si="26"/>
        <v/>
      </c>
    </row>
    <row r="1694" spans="9:9" x14ac:dyDescent="0.25">
      <c r="I1694" s="10" t="str">
        <f t="shared" si="26"/>
        <v/>
      </c>
    </row>
    <row r="1695" spans="9:9" x14ac:dyDescent="0.25">
      <c r="I1695" s="10" t="str">
        <f t="shared" si="26"/>
        <v/>
      </c>
    </row>
    <row r="1696" spans="9:9" x14ac:dyDescent="0.25">
      <c r="I1696" s="10" t="str">
        <f t="shared" si="26"/>
        <v/>
      </c>
    </row>
    <row r="1697" spans="9:9" x14ac:dyDescent="0.25">
      <c r="I1697" s="10" t="str">
        <f t="shared" si="26"/>
        <v/>
      </c>
    </row>
    <row r="1698" spans="9:9" x14ac:dyDescent="0.25">
      <c r="I1698" s="10" t="str">
        <f t="shared" si="26"/>
        <v/>
      </c>
    </row>
    <row r="1699" spans="9:9" x14ac:dyDescent="0.25">
      <c r="I1699" s="10" t="str">
        <f t="shared" si="26"/>
        <v/>
      </c>
    </row>
    <row r="1700" spans="9:9" x14ac:dyDescent="0.25">
      <c r="I1700" s="10" t="str">
        <f t="shared" si="26"/>
        <v/>
      </c>
    </row>
    <row r="1701" spans="9:9" x14ac:dyDescent="0.25">
      <c r="I1701" s="10" t="str">
        <f t="shared" si="26"/>
        <v/>
      </c>
    </row>
    <row r="1702" spans="9:9" x14ac:dyDescent="0.25">
      <c r="I1702" s="10" t="str">
        <f t="shared" si="26"/>
        <v/>
      </c>
    </row>
    <row r="1703" spans="9:9" x14ac:dyDescent="0.25">
      <c r="I1703" s="10" t="str">
        <f t="shared" si="26"/>
        <v/>
      </c>
    </row>
    <row r="1704" spans="9:9" x14ac:dyDescent="0.25">
      <c r="I1704" s="10" t="str">
        <f t="shared" si="26"/>
        <v/>
      </c>
    </row>
    <row r="1705" spans="9:9" x14ac:dyDescent="0.25">
      <c r="I1705" s="10" t="str">
        <f t="shared" si="26"/>
        <v/>
      </c>
    </row>
    <row r="1706" spans="9:9" x14ac:dyDescent="0.25">
      <c r="I1706" s="10" t="str">
        <f t="shared" si="26"/>
        <v/>
      </c>
    </row>
    <row r="1707" spans="9:9" x14ac:dyDescent="0.25">
      <c r="I1707" s="10" t="str">
        <f t="shared" si="26"/>
        <v/>
      </c>
    </row>
    <row r="1708" spans="9:9" x14ac:dyDescent="0.25">
      <c r="I1708" s="10" t="str">
        <f t="shared" si="26"/>
        <v/>
      </c>
    </row>
    <row r="1709" spans="9:9" x14ac:dyDescent="0.25">
      <c r="I1709" s="10" t="str">
        <f t="shared" si="26"/>
        <v/>
      </c>
    </row>
    <row r="1710" spans="9:9" x14ac:dyDescent="0.25">
      <c r="I1710" s="10" t="str">
        <f t="shared" si="26"/>
        <v/>
      </c>
    </row>
    <row r="1711" spans="9:9" x14ac:dyDescent="0.25">
      <c r="I1711" s="10" t="str">
        <f t="shared" si="26"/>
        <v/>
      </c>
    </row>
    <row r="1712" spans="9:9" x14ac:dyDescent="0.25">
      <c r="I1712" s="10" t="str">
        <f t="shared" si="26"/>
        <v/>
      </c>
    </row>
    <row r="1713" spans="9:9" x14ac:dyDescent="0.25">
      <c r="I1713" s="10" t="str">
        <f t="shared" si="26"/>
        <v/>
      </c>
    </row>
    <row r="1714" spans="9:9" x14ac:dyDescent="0.25">
      <c r="I1714" s="10" t="str">
        <f t="shared" si="26"/>
        <v/>
      </c>
    </row>
    <row r="1715" spans="9:9" x14ac:dyDescent="0.25">
      <c r="I1715" s="10" t="str">
        <f t="shared" si="26"/>
        <v/>
      </c>
    </row>
    <row r="1716" spans="9:9" x14ac:dyDescent="0.25">
      <c r="I1716" s="10" t="str">
        <f t="shared" si="26"/>
        <v/>
      </c>
    </row>
    <row r="1717" spans="9:9" x14ac:dyDescent="0.25">
      <c r="I1717" s="10" t="str">
        <f t="shared" si="26"/>
        <v/>
      </c>
    </row>
    <row r="1718" spans="9:9" x14ac:dyDescent="0.25">
      <c r="I1718" s="10" t="str">
        <f t="shared" si="26"/>
        <v/>
      </c>
    </row>
    <row r="1719" spans="9:9" x14ac:dyDescent="0.25">
      <c r="I1719" s="10" t="str">
        <f t="shared" si="26"/>
        <v/>
      </c>
    </row>
    <row r="1720" spans="9:9" x14ac:dyDescent="0.25">
      <c r="I1720" s="10" t="str">
        <f t="shared" si="26"/>
        <v/>
      </c>
    </row>
    <row r="1721" spans="9:9" x14ac:dyDescent="0.25">
      <c r="I1721" s="10" t="str">
        <f t="shared" si="26"/>
        <v/>
      </c>
    </row>
    <row r="1722" spans="9:9" x14ac:dyDescent="0.25">
      <c r="I1722" s="10" t="str">
        <f t="shared" si="26"/>
        <v/>
      </c>
    </row>
    <row r="1723" spans="9:9" x14ac:dyDescent="0.25">
      <c r="I1723" s="10" t="str">
        <f t="shared" si="26"/>
        <v/>
      </c>
    </row>
    <row r="1724" spans="9:9" x14ac:dyDescent="0.25">
      <c r="I1724" s="10" t="str">
        <f t="shared" si="26"/>
        <v/>
      </c>
    </row>
    <row r="1725" spans="9:9" x14ac:dyDescent="0.25">
      <c r="I1725" s="10" t="str">
        <f t="shared" si="26"/>
        <v/>
      </c>
    </row>
    <row r="1726" spans="9:9" x14ac:dyDescent="0.25">
      <c r="I1726" s="10" t="str">
        <f t="shared" si="26"/>
        <v/>
      </c>
    </row>
    <row r="1727" spans="9:9" x14ac:dyDescent="0.25">
      <c r="I1727" s="10" t="str">
        <f t="shared" si="26"/>
        <v/>
      </c>
    </row>
    <row r="1728" spans="9:9" x14ac:dyDescent="0.25">
      <c r="I1728" s="10" t="str">
        <f t="shared" si="26"/>
        <v/>
      </c>
    </row>
    <row r="1729" spans="9:9" x14ac:dyDescent="0.25">
      <c r="I1729" s="10" t="str">
        <f t="shared" si="26"/>
        <v/>
      </c>
    </row>
    <row r="1730" spans="9:9" x14ac:dyDescent="0.25">
      <c r="I1730" s="10" t="str">
        <f t="shared" si="26"/>
        <v/>
      </c>
    </row>
    <row r="1731" spans="9:9" x14ac:dyDescent="0.25">
      <c r="I1731" s="10" t="str">
        <f t="shared" ref="I1731:I1794" si="27">IFERROR(DATEVALUE(D1731),"")</f>
        <v/>
      </c>
    </row>
    <row r="1732" spans="9:9" x14ac:dyDescent="0.25">
      <c r="I1732" s="10" t="str">
        <f t="shared" si="27"/>
        <v/>
      </c>
    </row>
    <row r="1733" spans="9:9" x14ac:dyDescent="0.25">
      <c r="I1733" s="10" t="str">
        <f t="shared" si="27"/>
        <v/>
      </c>
    </row>
    <row r="1734" spans="9:9" x14ac:dyDescent="0.25">
      <c r="I1734" s="10" t="str">
        <f t="shared" si="27"/>
        <v/>
      </c>
    </row>
    <row r="1735" spans="9:9" x14ac:dyDescent="0.25">
      <c r="I1735" s="10" t="str">
        <f t="shared" si="27"/>
        <v/>
      </c>
    </row>
    <row r="1736" spans="9:9" x14ac:dyDescent="0.25">
      <c r="I1736" s="10" t="str">
        <f t="shared" si="27"/>
        <v/>
      </c>
    </row>
    <row r="1737" spans="9:9" x14ac:dyDescent="0.25">
      <c r="I1737" s="10" t="str">
        <f t="shared" si="27"/>
        <v/>
      </c>
    </row>
    <row r="1738" spans="9:9" x14ac:dyDescent="0.25">
      <c r="I1738" s="10" t="str">
        <f t="shared" si="27"/>
        <v/>
      </c>
    </row>
    <row r="1739" spans="9:9" x14ac:dyDescent="0.25">
      <c r="I1739" s="10" t="str">
        <f t="shared" si="27"/>
        <v/>
      </c>
    </row>
    <row r="1740" spans="9:9" x14ac:dyDescent="0.25">
      <c r="I1740" s="10" t="str">
        <f t="shared" si="27"/>
        <v/>
      </c>
    </row>
    <row r="1741" spans="9:9" x14ac:dyDescent="0.25">
      <c r="I1741" s="10" t="str">
        <f t="shared" si="27"/>
        <v/>
      </c>
    </row>
    <row r="1742" spans="9:9" x14ac:dyDescent="0.25">
      <c r="I1742" s="10" t="str">
        <f t="shared" si="27"/>
        <v/>
      </c>
    </row>
    <row r="1743" spans="9:9" x14ac:dyDescent="0.25">
      <c r="I1743" s="10" t="str">
        <f t="shared" si="27"/>
        <v/>
      </c>
    </row>
    <row r="1744" spans="9:9" x14ac:dyDescent="0.25">
      <c r="I1744" s="10" t="str">
        <f t="shared" si="27"/>
        <v/>
      </c>
    </row>
    <row r="1745" spans="9:9" x14ac:dyDescent="0.25">
      <c r="I1745" s="10" t="str">
        <f t="shared" si="27"/>
        <v/>
      </c>
    </row>
    <row r="1746" spans="9:9" x14ac:dyDescent="0.25">
      <c r="I1746" s="10" t="str">
        <f t="shared" si="27"/>
        <v/>
      </c>
    </row>
    <row r="1747" spans="9:9" x14ac:dyDescent="0.25">
      <c r="I1747" s="10" t="str">
        <f t="shared" si="27"/>
        <v/>
      </c>
    </row>
    <row r="1748" spans="9:9" x14ac:dyDescent="0.25">
      <c r="I1748" s="10" t="str">
        <f t="shared" si="27"/>
        <v/>
      </c>
    </row>
    <row r="1749" spans="9:9" x14ac:dyDescent="0.25">
      <c r="I1749" s="10" t="str">
        <f t="shared" si="27"/>
        <v/>
      </c>
    </row>
    <row r="1750" spans="9:9" x14ac:dyDescent="0.25">
      <c r="I1750" s="10" t="str">
        <f t="shared" si="27"/>
        <v/>
      </c>
    </row>
    <row r="1751" spans="9:9" x14ac:dyDescent="0.25">
      <c r="I1751" s="10" t="str">
        <f t="shared" si="27"/>
        <v/>
      </c>
    </row>
    <row r="1752" spans="9:9" x14ac:dyDescent="0.25">
      <c r="I1752" s="10" t="str">
        <f t="shared" si="27"/>
        <v/>
      </c>
    </row>
    <row r="1753" spans="9:9" x14ac:dyDescent="0.25">
      <c r="I1753" s="10" t="str">
        <f t="shared" si="27"/>
        <v/>
      </c>
    </row>
    <row r="1754" spans="9:9" x14ac:dyDescent="0.25">
      <c r="I1754" s="10" t="str">
        <f t="shared" si="27"/>
        <v/>
      </c>
    </row>
    <row r="1755" spans="9:9" x14ac:dyDescent="0.25">
      <c r="I1755" s="10" t="str">
        <f t="shared" si="27"/>
        <v/>
      </c>
    </row>
    <row r="1756" spans="9:9" x14ac:dyDescent="0.25">
      <c r="I1756" s="10" t="str">
        <f t="shared" si="27"/>
        <v/>
      </c>
    </row>
    <row r="1757" spans="9:9" x14ac:dyDescent="0.25">
      <c r="I1757" s="10" t="str">
        <f t="shared" si="27"/>
        <v/>
      </c>
    </row>
    <row r="1758" spans="9:9" x14ac:dyDescent="0.25">
      <c r="I1758" s="10" t="str">
        <f t="shared" si="27"/>
        <v/>
      </c>
    </row>
    <row r="1759" spans="9:9" x14ac:dyDescent="0.25">
      <c r="I1759" s="10" t="str">
        <f t="shared" si="27"/>
        <v/>
      </c>
    </row>
    <row r="1760" spans="9:9" x14ac:dyDescent="0.25">
      <c r="I1760" s="10" t="str">
        <f t="shared" si="27"/>
        <v/>
      </c>
    </row>
    <row r="1761" spans="9:9" x14ac:dyDescent="0.25">
      <c r="I1761" s="10" t="str">
        <f t="shared" si="27"/>
        <v/>
      </c>
    </row>
    <row r="1762" spans="9:9" x14ac:dyDescent="0.25">
      <c r="I1762" s="10" t="str">
        <f t="shared" si="27"/>
        <v/>
      </c>
    </row>
    <row r="1763" spans="9:9" x14ac:dyDescent="0.25">
      <c r="I1763" s="10" t="str">
        <f t="shared" si="27"/>
        <v/>
      </c>
    </row>
    <row r="1764" spans="9:9" x14ac:dyDescent="0.25">
      <c r="I1764" s="10" t="str">
        <f t="shared" si="27"/>
        <v/>
      </c>
    </row>
    <row r="1765" spans="9:9" x14ac:dyDescent="0.25">
      <c r="I1765" s="10" t="str">
        <f t="shared" si="27"/>
        <v/>
      </c>
    </row>
    <row r="1766" spans="9:9" x14ac:dyDescent="0.25">
      <c r="I1766" s="10" t="str">
        <f t="shared" si="27"/>
        <v/>
      </c>
    </row>
    <row r="1767" spans="9:9" x14ac:dyDescent="0.25">
      <c r="I1767" s="10" t="str">
        <f t="shared" si="27"/>
        <v/>
      </c>
    </row>
    <row r="1768" spans="9:9" x14ac:dyDescent="0.25">
      <c r="I1768" s="10" t="str">
        <f t="shared" si="27"/>
        <v/>
      </c>
    </row>
    <row r="1769" spans="9:9" x14ac:dyDescent="0.25">
      <c r="I1769" s="10" t="str">
        <f t="shared" si="27"/>
        <v/>
      </c>
    </row>
    <row r="1770" spans="9:9" x14ac:dyDescent="0.25">
      <c r="I1770" s="10" t="str">
        <f t="shared" si="27"/>
        <v/>
      </c>
    </row>
    <row r="1771" spans="9:9" x14ac:dyDescent="0.25">
      <c r="I1771" s="10" t="str">
        <f t="shared" si="27"/>
        <v/>
      </c>
    </row>
    <row r="1772" spans="9:9" x14ac:dyDescent="0.25">
      <c r="I1772" s="10" t="str">
        <f t="shared" si="27"/>
        <v/>
      </c>
    </row>
    <row r="1773" spans="9:9" x14ac:dyDescent="0.25">
      <c r="I1773" s="10" t="str">
        <f t="shared" si="27"/>
        <v/>
      </c>
    </row>
    <row r="1774" spans="9:9" x14ac:dyDescent="0.25">
      <c r="I1774" s="10" t="str">
        <f t="shared" si="27"/>
        <v/>
      </c>
    </row>
    <row r="1775" spans="9:9" x14ac:dyDescent="0.25">
      <c r="I1775" s="10" t="str">
        <f t="shared" si="27"/>
        <v/>
      </c>
    </row>
    <row r="1776" spans="9:9" x14ac:dyDescent="0.25">
      <c r="I1776" s="10" t="str">
        <f t="shared" si="27"/>
        <v/>
      </c>
    </row>
    <row r="1777" spans="9:9" x14ac:dyDescent="0.25">
      <c r="I1777" s="10" t="str">
        <f t="shared" si="27"/>
        <v/>
      </c>
    </row>
    <row r="1778" spans="9:9" x14ac:dyDescent="0.25">
      <c r="I1778" s="10" t="str">
        <f t="shared" si="27"/>
        <v/>
      </c>
    </row>
    <row r="1779" spans="9:9" x14ac:dyDescent="0.25">
      <c r="I1779" s="10" t="str">
        <f t="shared" si="27"/>
        <v/>
      </c>
    </row>
    <row r="1780" spans="9:9" x14ac:dyDescent="0.25">
      <c r="I1780" s="10" t="str">
        <f t="shared" si="27"/>
        <v/>
      </c>
    </row>
    <row r="1781" spans="9:9" x14ac:dyDescent="0.25">
      <c r="I1781" s="10" t="str">
        <f t="shared" si="27"/>
        <v/>
      </c>
    </row>
    <row r="1782" spans="9:9" x14ac:dyDescent="0.25">
      <c r="I1782" s="10" t="str">
        <f t="shared" si="27"/>
        <v/>
      </c>
    </row>
    <row r="1783" spans="9:9" x14ac:dyDescent="0.25">
      <c r="I1783" s="10" t="str">
        <f t="shared" si="27"/>
        <v/>
      </c>
    </row>
    <row r="1784" spans="9:9" x14ac:dyDescent="0.25">
      <c r="I1784" s="10" t="str">
        <f t="shared" si="27"/>
        <v/>
      </c>
    </row>
    <row r="1785" spans="9:9" x14ac:dyDescent="0.25">
      <c r="I1785" s="10" t="str">
        <f t="shared" si="27"/>
        <v/>
      </c>
    </row>
    <row r="1786" spans="9:9" x14ac:dyDescent="0.25">
      <c r="I1786" s="10" t="str">
        <f t="shared" si="27"/>
        <v/>
      </c>
    </row>
    <row r="1787" spans="9:9" x14ac:dyDescent="0.25">
      <c r="I1787" s="10" t="str">
        <f t="shared" si="27"/>
        <v/>
      </c>
    </row>
    <row r="1788" spans="9:9" x14ac:dyDescent="0.25">
      <c r="I1788" s="10" t="str">
        <f t="shared" si="27"/>
        <v/>
      </c>
    </row>
    <row r="1789" spans="9:9" x14ac:dyDescent="0.25">
      <c r="I1789" s="10" t="str">
        <f t="shared" si="27"/>
        <v/>
      </c>
    </row>
    <row r="1790" spans="9:9" x14ac:dyDescent="0.25">
      <c r="I1790" s="10" t="str">
        <f t="shared" si="27"/>
        <v/>
      </c>
    </row>
    <row r="1791" spans="9:9" x14ac:dyDescent="0.25">
      <c r="I1791" s="10" t="str">
        <f t="shared" si="27"/>
        <v/>
      </c>
    </row>
    <row r="1792" spans="9:9" x14ac:dyDescent="0.25">
      <c r="I1792" s="10" t="str">
        <f t="shared" si="27"/>
        <v/>
      </c>
    </row>
    <row r="1793" spans="9:9" x14ac:dyDescent="0.25">
      <c r="I1793" s="10" t="str">
        <f t="shared" si="27"/>
        <v/>
      </c>
    </row>
    <row r="1794" spans="9:9" x14ac:dyDescent="0.25">
      <c r="I1794" s="10" t="str">
        <f t="shared" si="27"/>
        <v/>
      </c>
    </row>
    <row r="1795" spans="9:9" x14ac:dyDescent="0.25">
      <c r="I1795" s="10" t="str">
        <f t="shared" ref="I1795:I1858" si="28">IFERROR(DATEVALUE(D1795),"")</f>
        <v/>
      </c>
    </row>
    <row r="1796" spans="9:9" x14ac:dyDescent="0.25">
      <c r="I1796" s="10" t="str">
        <f t="shared" si="28"/>
        <v/>
      </c>
    </row>
    <row r="1797" spans="9:9" x14ac:dyDescent="0.25">
      <c r="I1797" s="10" t="str">
        <f t="shared" si="28"/>
        <v/>
      </c>
    </row>
    <row r="1798" spans="9:9" x14ac:dyDescent="0.25">
      <c r="I1798" s="10" t="str">
        <f t="shared" si="28"/>
        <v/>
      </c>
    </row>
    <row r="1799" spans="9:9" x14ac:dyDescent="0.25">
      <c r="I1799" s="10" t="str">
        <f t="shared" si="28"/>
        <v/>
      </c>
    </row>
    <row r="1800" spans="9:9" x14ac:dyDescent="0.25">
      <c r="I1800" s="10" t="str">
        <f t="shared" si="28"/>
        <v/>
      </c>
    </row>
    <row r="1801" spans="9:9" x14ac:dyDescent="0.25">
      <c r="I1801" s="10" t="str">
        <f t="shared" si="28"/>
        <v/>
      </c>
    </row>
    <row r="1802" spans="9:9" x14ac:dyDescent="0.25">
      <c r="I1802" s="10" t="str">
        <f t="shared" si="28"/>
        <v/>
      </c>
    </row>
    <row r="1803" spans="9:9" x14ac:dyDescent="0.25">
      <c r="I1803" s="10" t="str">
        <f t="shared" si="28"/>
        <v/>
      </c>
    </row>
    <row r="1804" spans="9:9" x14ac:dyDescent="0.25">
      <c r="I1804" s="10" t="str">
        <f t="shared" si="28"/>
        <v/>
      </c>
    </row>
    <row r="1805" spans="9:9" x14ac:dyDescent="0.25">
      <c r="I1805" s="10" t="str">
        <f t="shared" si="28"/>
        <v/>
      </c>
    </row>
    <row r="1806" spans="9:9" x14ac:dyDescent="0.25">
      <c r="I1806" s="10" t="str">
        <f t="shared" si="28"/>
        <v/>
      </c>
    </row>
    <row r="1807" spans="9:9" x14ac:dyDescent="0.25">
      <c r="I1807" s="10" t="str">
        <f t="shared" si="28"/>
        <v/>
      </c>
    </row>
    <row r="1808" spans="9:9" x14ac:dyDescent="0.25">
      <c r="I1808" s="10" t="str">
        <f t="shared" si="28"/>
        <v/>
      </c>
    </row>
    <row r="1809" spans="9:9" x14ac:dyDescent="0.25">
      <c r="I1809" s="10" t="str">
        <f t="shared" si="28"/>
        <v/>
      </c>
    </row>
    <row r="1810" spans="9:9" x14ac:dyDescent="0.25">
      <c r="I1810" s="10" t="str">
        <f t="shared" si="28"/>
        <v/>
      </c>
    </row>
    <row r="1811" spans="9:9" x14ac:dyDescent="0.25">
      <c r="I1811" s="10" t="str">
        <f t="shared" si="28"/>
        <v/>
      </c>
    </row>
    <row r="1812" spans="9:9" x14ac:dyDescent="0.25">
      <c r="I1812" s="10" t="str">
        <f t="shared" si="28"/>
        <v/>
      </c>
    </row>
    <row r="1813" spans="9:9" x14ac:dyDescent="0.25">
      <c r="I1813" s="10" t="str">
        <f t="shared" si="28"/>
        <v/>
      </c>
    </row>
    <row r="1814" spans="9:9" x14ac:dyDescent="0.25">
      <c r="I1814" s="10" t="str">
        <f t="shared" si="28"/>
        <v/>
      </c>
    </row>
    <row r="1815" spans="9:9" x14ac:dyDescent="0.25">
      <c r="I1815" s="10" t="str">
        <f t="shared" si="28"/>
        <v/>
      </c>
    </row>
    <row r="1816" spans="9:9" x14ac:dyDescent="0.25">
      <c r="I1816" s="10" t="str">
        <f t="shared" si="28"/>
        <v/>
      </c>
    </row>
    <row r="1817" spans="9:9" x14ac:dyDescent="0.25">
      <c r="I1817" s="10" t="str">
        <f t="shared" si="28"/>
        <v/>
      </c>
    </row>
    <row r="1818" spans="9:9" x14ac:dyDescent="0.25">
      <c r="I1818" s="10" t="str">
        <f t="shared" si="28"/>
        <v/>
      </c>
    </row>
    <row r="1819" spans="9:9" x14ac:dyDescent="0.25">
      <c r="I1819" s="10" t="str">
        <f t="shared" si="28"/>
        <v/>
      </c>
    </row>
    <row r="1820" spans="9:9" x14ac:dyDescent="0.25">
      <c r="I1820" s="10" t="str">
        <f t="shared" si="28"/>
        <v/>
      </c>
    </row>
    <row r="1821" spans="9:9" x14ac:dyDescent="0.25">
      <c r="I1821" s="10" t="str">
        <f t="shared" si="28"/>
        <v/>
      </c>
    </row>
    <row r="1822" spans="9:9" x14ac:dyDescent="0.25">
      <c r="I1822" s="10" t="str">
        <f t="shared" si="28"/>
        <v/>
      </c>
    </row>
    <row r="1823" spans="9:9" x14ac:dyDescent="0.25">
      <c r="I1823" s="10" t="str">
        <f t="shared" si="28"/>
        <v/>
      </c>
    </row>
    <row r="1824" spans="9:9" x14ac:dyDescent="0.25">
      <c r="I1824" s="10" t="str">
        <f t="shared" si="28"/>
        <v/>
      </c>
    </row>
    <row r="1825" spans="9:9" x14ac:dyDescent="0.25">
      <c r="I1825" s="10" t="str">
        <f t="shared" si="28"/>
        <v/>
      </c>
    </row>
    <row r="1826" spans="9:9" x14ac:dyDescent="0.25">
      <c r="I1826" s="10" t="str">
        <f t="shared" si="28"/>
        <v/>
      </c>
    </row>
    <row r="1827" spans="9:9" x14ac:dyDescent="0.25">
      <c r="I1827" s="10" t="str">
        <f t="shared" si="28"/>
        <v/>
      </c>
    </row>
    <row r="1828" spans="9:9" x14ac:dyDescent="0.25">
      <c r="I1828" s="10" t="str">
        <f t="shared" si="28"/>
        <v/>
      </c>
    </row>
    <row r="1829" spans="9:9" x14ac:dyDescent="0.25">
      <c r="I1829" s="10" t="str">
        <f t="shared" si="28"/>
        <v/>
      </c>
    </row>
    <row r="1830" spans="9:9" x14ac:dyDescent="0.25">
      <c r="I1830" s="10" t="str">
        <f t="shared" si="28"/>
        <v/>
      </c>
    </row>
    <row r="1831" spans="9:9" x14ac:dyDescent="0.25">
      <c r="I1831" s="10" t="str">
        <f t="shared" si="28"/>
        <v/>
      </c>
    </row>
    <row r="1832" spans="9:9" x14ac:dyDescent="0.25">
      <c r="I1832" s="10" t="str">
        <f t="shared" si="28"/>
        <v/>
      </c>
    </row>
    <row r="1833" spans="9:9" x14ac:dyDescent="0.25">
      <c r="I1833" s="10" t="str">
        <f t="shared" si="28"/>
        <v/>
      </c>
    </row>
    <row r="1834" spans="9:9" x14ac:dyDescent="0.25">
      <c r="I1834" s="10" t="str">
        <f t="shared" si="28"/>
        <v/>
      </c>
    </row>
    <row r="1835" spans="9:9" x14ac:dyDescent="0.25">
      <c r="I1835" s="10" t="str">
        <f t="shared" si="28"/>
        <v/>
      </c>
    </row>
    <row r="1836" spans="9:9" x14ac:dyDescent="0.25">
      <c r="I1836" s="10" t="str">
        <f t="shared" si="28"/>
        <v/>
      </c>
    </row>
    <row r="1837" spans="9:9" x14ac:dyDescent="0.25">
      <c r="I1837" s="10" t="str">
        <f t="shared" si="28"/>
        <v/>
      </c>
    </row>
    <row r="1838" spans="9:9" x14ac:dyDescent="0.25">
      <c r="I1838" s="10" t="str">
        <f t="shared" si="28"/>
        <v/>
      </c>
    </row>
    <row r="1839" spans="9:9" x14ac:dyDescent="0.25">
      <c r="I1839" s="10" t="str">
        <f t="shared" si="28"/>
        <v/>
      </c>
    </row>
    <row r="1840" spans="9:9" x14ac:dyDescent="0.25">
      <c r="I1840" s="10" t="str">
        <f t="shared" si="28"/>
        <v/>
      </c>
    </row>
    <row r="1841" spans="9:9" x14ac:dyDescent="0.25">
      <c r="I1841" s="10" t="str">
        <f t="shared" si="28"/>
        <v/>
      </c>
    </row>
    <row r="1842" spans="9:9" x14ac:dyDescent="0.25">
      <c r="I1842" s="10" t="str">
        <f t="shared" si="28"/>
        <v/>
      </c>
    </row>
    <row r="1843" spans="9:9" x14ac:dyDescent="0.25">
      <c r="I1843" s="10" t="str">
        <f t="shared" si="28"/>
        <v/>
      </c>
    </row>
    <row r="1844" spans="9:9" x14ac:dyDescent="0.25">
      <c r="I1844" s="10" t="str">
        <f t="shared" si="28"/>
        <v/>
      </c>
    </row>
    <row r="1845" spans="9:9" x14ac:dyDescent="0.25">
      <c r="I1845" s="10" t="str">
        <f t="shared" si="28"/>
        <v/>
      </c>
    </row>
    <row r="1846" spans="9:9" x14ac:dyDescent="0.25">
      <c r="I1846" s="10" t="str">
        <f t="shared" si="28"/>
        <v/>
      </c>
    </row>
    <row r="1847" spans="9:9" x14ac:dyDescent="0.25">
      <c r="I1847" s="10" t="str">
        <f t="shared" si="28"/>
        <v/>
      </c>
    </row>
    <row r="1848" spans="9:9" x14ac:dyDescent="0.25">
      <c r="I1848" s="10" t="str">
        <f t="shared" si="28"/>
        <v/>
      </c>
    </row>
    <row r="1849" spans="9:9" x14ac:dyDescent="0.25">
      <c r="I1849" s="10" t="str">
        <f t="shared" si="28"/>
        <v/>
      </c>
    </row>
    <row r="1850" spans="9:9" x14ac:dyDescent="0.25">
      <c r="I1850" s="10" t="str">
        <f t="shared" si="28"/>
        <v/>
      </c>
    </row>
    <row r="1851" spans="9:9" x14ac:dyDescent="0.25">
      <c r="I1851" s="10" t="str">
        <f t="shared" si="28"/>
        <v/>
      </c>
    </row>
    <row r="1852" spans="9:9" x14ac:dyDescent="0.25">
      <c r="I1852" s="10" t="str">
        <f t="shared" si="28"/>
        <v/>
      </c>
    </row>
    <row r="1853" spans="9:9" x14ac:dyDescent="0.25">
      <c r="I1853" s="10" t="str">
        <f t="shared" si="28"/>
        <v/>
      </c>
    </row>
    <row r="1854" spans="9:9" x14ac:dyDescent="0.25">
      <c r="I1854" s="10" t="str">
        <f t="shared" si="28"/>
        <v/>
      </c>
    </row>
    <row r="1855" spans="9:9" x14ac:dyDescent="0.25">
      <c r="I1855" s="10" t="str">
        <f t="shared" si="28"/>
        <v/>
      </c>
    </row>
    <row r="1856" spans="9:9" x14ac:dyDescent="0.25">
      <c r="I1856" s="10" t="str">
        <f t="shared" si="28"/>
        <v/>
      </c>
    </row>
    <row r="1857" spans="9:9" x14ac:dyDescent="0.25">
      <c r="I1857" s="10" t="str">
        <f t="shared" si="28"/>
        <v/>
      </c>
    </row>
    <row r="1858" spans="9:9" x14ac:dyDescent="0.25">
      <c r="I1858" s="10" t="str">
        <f t="shared" si="28"/>
        <v/>
      </c>
    </row>
    <row r="1859" spans="9:9" x14ac:dyDescent="0.25">
      <c r="I1859" s="10" t="str">
        <f t="shared" ref="I1859:I1922" si="29">IFERROR(DATEVALUE(D1859),"")</f>
        <v/>
      </c>
    </row>
    <row r="1860" spans="9:9" x14ac:dyDescent="0.25">
      <c r="I1860" s="10" t="str">
        <f t="shared" si="29"/>
        <v/>
      </c>
    </row>
    <row r="1861" spans="9:9" x14ac:dyDescent="0.25">
      <c r="I1861" s="10" t="str">
        <f t="shared" si="29"/>
        <v/>
      </c>
    </row>
    <row r="1862" spans="9:9" x14ac:dyDescent="0.25">
      <c r="I1862" s="10" t="str">
        <f t="shared" si="29"/>
        <v/>
      </c>
    </row>
    <row r="1863" spans="9:9" x14ac:dyDescent="0.25">
      <c r="I1863" s="10" t="str">
        <f t="shared" si="29"/>
        <v/>
      </c>
    </row>
    <row r="1864" spans="9:9" x14ac:dyDescent="0.25">
      <c r="I1864" s="10" t="str">
        <f t="shared" si="29"/>
        <v/>
      </c>
    </row>
    <row r="1865" spans="9:9" x14ac:dyDescent="0.25">
      <c r="I1865" s="10" t="str">
        <f t="shared" si="29"/>
        <v/>
      </c>
    </row>
    <row r="1866" spans="9:9" x14ac:dyDescent="0.25">
      <c r="I1866" s="10" t="str">
        <f t="shared" si="29"/>
        <v/>
      </c>
    </row>
    <row r="1867" spans="9:9" x14ac:dyDescent="0.25">
      <c r="I1867" s="10" t="str">
        <f t="shared" si="29"/>
        <v/>
      </c>
    </row>
    <row r="1868" spans="9:9" x14ac:dyDescent="0.25">
      <c r="I1868" s="10" t="str">
        <f t="shared" si="29"/>
        <v/>
      </c>
    </row>
    <row r="1869" spans="9:9" x14ac:dyDescent="0.25">
      <c r="I1869" s="10" t="str">
        <f t="shared" si="29"/>
        <v/>
      </c>
    </row>
    <row r="1870" spans="9:9" x14ac:dyDescent="0.25">
      <c r="I1870" s="10" t="str">
        <f t="shared" si="29"/>
        <v/>
      </c>
    </row>
    <row r="1871" spans="9:9" x14ac:dyDescent="0.25">
      <c r="I1871" s="10" t="str">
        <f t="shared" si="29"/>
        <v/>
      </c>
    </row>
    <row r="1872" spans="9:9" x14ac:dyDescent="0.25">
      <c r="I1872" s="10" t="str">
        <f t="shared" si="29"/>
        <v/>
      </c>
    </row>
    <row r="1873" spans="9:9" x14ac:dyDescent="0.25">
      <c r="I1873" s="10" t="str">
        <f t="shared" si="29"/>
        <v/>
      </c>
    </row>
    <row r="1874" spans="9:9" x14ac:dyDescent="0.25">
      <c r="I1874" s="10" t="str">
        <f t="shared" si="29"/>
        <v/>
      </c>
    </row>
    <row r="1875" spans="9:9" x14ac:dyDescent="0.25">
      <c r="I1875" s="10" t="str">
        <f t="shared" si="29"/>
        <v/>
      </c>
    </row>
    <row r="1876" spans="9:9" x14ac:dyDescent="0.25">
      <c r="I1876" s="10" t="str">
        <f t="shared" si="29"/>
        <v/>
      </c>
    </row>
    <row r="1877" spans="9:9" x14ac:dyDescent="0.25">
      <c r="I1877" s="10" t="str">
        <f t="shared" si="29"/>
        <v/>
      </c>
    </row>
    <row r="1878" spans="9:9" x14ac:dyDescent="0.25">
      <c r="I1878" s="10" t="str">
        <f t="shared" si="29"/>
        <v/>
      </c>
    </row>
    <row r="1879" spans="9:9" x14ac:dyDescent="0.25">
      <c r="I1879" s="10" t="str">
        <f t="shared" si="29"/>
        <v/>
      </c>
    </row>
    <row r="1880" spans="9:9" x14ac:dyDescent="0.25">
      <c r="I1880" s="10" t="str">
        <f t="shared" si="29"/>
        <v/>
      </c>
    </row>
    <row r="1881" spans="9:9" x14ac:dyDescent="0.25">
      <c r="I1881" s="10" t="str">
        <f t="shared" si="29"/>
        <v/>
      </c>
    </row>
    <row r="1882" spans="9:9" x14ac:dyDescent="0.25">
      <c r="I1882" s="10" t="str">
        <f t="shared" si="29"/>
        <v/>
      </c>
    </row>
    <row r="1883" spans="9:9" x14ac:dyDescent="0.25">
      <c r="I1883" s="10" t="str">
        <f t="shared" si="29"/>
        <v/>
      </c>
    </row>
    <row r="1884" spans="9:9" x14ac:dyDescent="0.25">
      <c r="I1884" s="10" t="str">
        <f t="shared" si="29"/>
        <v/>
      </c>
    </row>
    <row r="1885" spans="9:9" x14ac:dyDescent="0.25">
      <c r="I1885" s="10" t="str">
        <f t="shared" si="29"/>
        <v/>
      </c>
    </row>
    <row r="1886" spans="9:9" x14ac:dyDescent="0.25">
      <c r="I1886" s="10" t="str">
        <f t="shared" si="29"/>
        <v/>
      </c>
    </row>
    <row r="1887" spans="9:9" x14ac:dyDescent="0.25">
      <c r="I1887" s="10" t="str">
        <f t="shared" si="29"/>
        <v/>
      </c>
    </row>
    <row r="1888" spans="9:9" x14ac:dyDescent="0.25">
      <c r="I1888" s="10" t="str">
        <f t="shared" si="29"/>
        <v/>
      </c>
    </row>
    <row r="1889" spans="9:9" x14ac:dyDescent="0.25">
      <c r="I1889" s="10" t="str">
        <f t="shared" si="29"/>
        <v/>
      </c>
    </row>
    <row r="1890" spans="9:9" x14ac:dyDescent="0.25">
      <c r="I1890" s="10" t="str">
        <f t="shared" si="29"/>
        <v/>
      </c>
    </row>
    <row r="1891" spans="9:9" x14ac:dyDescent="0.25">
      <c r="I1891" s="10" t="str">
        <f t="shared" si="29"/>
        <v/>
      </c>
    </row>
    <row r="1892" spans="9:9" x14ac:dyDescent="0.25">
      <c r="I1892" s="10" t="str">
        <f t="shared" si="29"/>
        <v/>
      </c>
    </row>
    <row r="1893" spans="9:9" x14ac:dyDescent="0.25">
      <c r="I1893" s="10" t="str">
        <f t="shared" si="29"/>
        <v/>
      </c>
    </row>
    <row r="1894" spans="9:9" x14ac:dyDescent="0.25">
      <c r="I1894" s="10" t="str">
        <f t="shared" si="29"/>
        <v/>
      </c>
    </row>
    <row r="1895" spans="9:9" x14ac:dyDescent="0.25">
      <c r="I1895" s="10" t="str">
        <f t="shared" si="29"/>
        <v/>
      </c>
    </row>
    <row r="1896" spans="9:9" x14ac:dyDescent="0.25">
      <c r="I1896" s="10" t="str">
        <f t="shared" si="29"/>
        <v/>
      </c>
    </row>
    <row r="1897" spans="9:9" x14ac:dyDescent="0.25">
      <c r="I1897" s="10" t="str">
        <f t="shared" si="29"/>
        <v/>
      </c>
    </row>
    <row r="1898" spans="9:9" x14ac:dyDescent="0.25">
      <c r="I1898" s="10" t="str">
        <f t="shared" si="29"/>
        <v/>
      </c>
    </row>
    <row r="1899" spans="9:9" x14ac:dyDescent="0.25">
      <c r="I1899" s="10" t="str">
        <f t="shared" si="29"/>
        <v/>
      </c>
    </row>
    <row r="1900" spans="9:9" x14ac:dyDescent="0.25">
      <c r="I1900" s="10" t="str">
        <f t="shared" si="29"/>
        <v/>
      </c>
    </row>
    <row r="1901" spans="9:9" x14ac:dyDescent="0.25">
      <c r="I1901" s="10" t="str">
        <f t="shared" si="29"/>
        <v/>
      </c>
    </row>
    <row r="1902" spans="9:9" x14ac:dyDescent="0.25">
      <c r="I1902" s="10" t="str">
        <f t="shared" si="29"/>
        <v/>
      </c>
    </row>
    <row r="1903" spans="9:9" x14ac:dyDescent="0.25">
      <c r="I1903" s="10" t="str">
        <f t="shared" si="29"/>
        <v/>
      </c>
    </row>
    <row r="1904" spans="9:9" x14ac:dyDescent="0.25">
      <c r="I1904" s="10" t="str">
        <f t="shared" si="29"/>
        <v/>
      </c>
    </row>
    <row r="1905" spans="9:9" x14ac:dyDescent="0.25">
      <c r="I1905" s="10" t="str">
        <f t="shared" si="29"/>
        <v/>
      </c>
    </row>
    <row r="1906" spans="9:9" x14ac:dyDescent="0.25">
      <c r="I1906" s="10" t="str">
        <f t="shared" si="29"/>
        <v/>
      </c>
    </row>
    <row r="1907" spans="9:9" x14ac:dyDescent="0.25">
      <c r="I1907" s="10" t="str">
        <f t="shared" si="29"/>
        <v/>
      </c>
    </row>
    <row r="1908" spans="9:9" x14ac:dyDescent="0.25">
      <c r="I1908" s="10" t="str">
        <f t="shared" si="29"/>
        <v/>
      </c>
    </row>
    <row r="1909" spans="9:9" x14ac:dyDescent="0.25">
      <c r="I1909" s="10" t="str">
        <f t="shared" si="29"/>
        <v/>
      </c>
    </row>
    <row r="1910" spans="9:9" x14ac:dyDescent="0.25">
      <c r="I1910" s="10" t="str">
        <f t="shared" si="29"/>
        <v/>
      </c>
    </row>
    <row r="1911" spans="9:9" x14ac:dyDescent="0.25">
      <c r="I1911" s="10" t="str">
        <f t="shared" si="29"/>
        <v/>
      </c>
    </row>
    <row r="1912" spans="9:9" x14ac:dyDescent="0.25">
      <c r="I1912" s="10" t="str">
        <f t="shared" si="29"/>
        <v/>
      </c>
    </row>
    <row r="1913" spans="9:9" x14ac:dyDescent="0.25">
      <c r="I1913" s="10" t="str">
        <f t="shared" si="29"/>
        <v/>
      </c>
    </row>
    <row r="1914" spans="9:9" x14ac:dyDescent="0.25">
      <c r="I1914" s="10" t="str">
        <f t="shared" si="29"/>
        <v/>
      </c>
    </row>
    <row r="1915" spans="9:9" x14ac:dyDescent="0.25">
      <c r="I1915" s="10" t="str">
        <f t="shared" si="29"/>
        <v/>
      </c>
    </row>
    <row r="1916" spans="9:9" x14ac:dyDescent="0.25">
      <c r="I1916" s="10" t="str">
        <f t="shared" si="29"/>
        <v/>
      </c>
    </row>
    <row r="1917" spans="9:9" x14ac:dyDescent="0.25">
      <c r="I1917" s="10" t="str">
        <f t="shared" si="29"/>
        <v/>
      </c>
    </row>
    <row r="1918" spans="9:9" x14ac:dyDescent="0.25">
      <c r="I1918" s="10" t="str">
        <f t="shared" si="29"/>
        <v/>
      </c>
    </row>
    <row r="1919" spans="9:9" x14ac:dyDescent="0.25">
      <c r="I1919" s="10" t="str">
        <f t="shared" si="29"/>
        <v/>
      </c>
    </row>
    <row r="1920" spans="9:9" x14ac:dyDescent="0.25">
      <c r="I1920" s="10" t="str">
        <f t="shared" si="29"/>
        <v/>
      </c>
    </row>
    <row r="1921" spans="9:9" x14ac:dyDescent="0.25">
      <c r="I1921" s="10" t="str">
        <f t="shared" si="29"/>
        <v/>
      </c>
    </row>
    <row r="1922" spans="9:9" x14ac:dyDescent="0.25">
      <c r="I1922" s="10" t="str">
        <f t="shared" si="29"/>
        <v/>
      </c>
    </row>
    <row r="1923" spans="9:9" x14ac:dyDescent="0.25">
      <c r="I1923" s="10" t="str">
        <f t="shared" ref="I1923:I1986" si="30">IFERROR(DATEVALUE(D1923),"")</f>
        <v/>
      </c>
    </row>
    <row r="1924" spans="9:9" x14ac:dyDescent="0.25">
      <c r="I1924" s="10" t="str">
        <f t="shared" si="30"/>
        <v/>
      </c>
    </row>
    <row r="1925" spans="9:9" x14ac:dyDescent="0.25">
      <c r="I1925" s="10" t="str">
        <f t="shared" si="30"/>
        <v/>
      </c>
    </row>
    <row r="1926" spans="9:9" x14ac:dyDescent="0.25">
      <c r="I1926" s="10" t="str">
        <f t="shared" si="30"/>
        <v/>
      </c>
    </row>
    <row r="1927" spans="9:9" x14ac:dyDescent="0.25">
      <c r="I1927" s="10" t="str">
        <f t="shared" si="30"/>
        <v/>
      </c>
    </row>
    <row r="1928" spans="9:9" x14ac:dyDescent="0.25">
      <c r="I1928" s="10" t="str">
        <f t="shared" si="30"/>
        <v/>
      </c>
    </row>
    <row r="1929" spans="9:9" x14ac:dyDescent="0.25">
      <c r="I1929" s="10" t="str">
        <f t="shared" si="30"/>
        <v/>
      </c>
    </row>
    <row r="1930" spans="9:9" x14ac:dyDescent="0.25">
      <c r="I1930" s="10" t="str">
        <f t="shared" si="30"/>
        <v/>
      </c>
    </row>
    <row r="1931" spans="9:9" x14ac:dyDescent="0.25">
      <c r="I1931" s="10" t="str">
        <f t="shared" si="30"/>
        <v/>
      </c>
    </row>
    <row r="1932" spans="9:9" x14ac:dyDescent="0.25">
      <c r="I1932" s="10" t="str">
        <f t="shared" si="30"/>
        <v/>
      </c>
    </row>
    <row r="1933" spans="9:9" x14ac:dyDescent="0.25">
      <c r="I1933" s="10" t="str">
        <f t="shared" si="30"/>
        <v/>
      </c>
    </row>
    <row r="1934" spans="9:9" x14ac:dyDescent="0.25">
      <c r="I1934" s="10" t="str">
        <f t="shared" si="30"/>
        <v/>
      </c>
    </row>
    <row r="1935" spans="9:9" x14ac:dyDescent="0.25">
      <c r="I1935" s="10" t="str">
        <f t="shared" si="30"/>
        <v/>
      </c>
    </row>
    <row r="1936" spans="9:9" x14ac:dyDescent="0.25">
      <c r="I1936" s="10" t="str">
        <f t="shared" si="30"/>
        <v/>
      </c>
    </row>
    <row r="1937" spans="9:9" x14ac:dyDescent="0.25">
      <c r="I1937" s="10" t="str">
        <f t="shared" si="30"/>
        <v/>
      </c>
    </row>
    <row r="1938" spans="9:9" x14ac:dyDescent="0.25">
      <c r="I1938" s="10" t="str">
        <f t="shared" si="30"/>
        <v/>
      </c>
    </row>
    <row r="1939" spans="9:9" x14ac:dyDescent="0.25">
      <c r="I1939" s="10" t="str">
        <f t="shared" si="30"/>
        <v/>
      </c>
    </row>
    <row r="1940" spans="9:9" x14ac:dyDescent="0.25">
      <c r="I1940" s="10" t="str">
        <f t="shared" si="30"/>
        <v/>
      </c>
    </row>
    <row r="1941" spans="9:9" x14ac:dyDescent="0.25">
      <c r="I1941" s="10" t="str">
        <f t="shared" si="30"/>
        <v/>
      </c>
    </row>
    <row r="1942" spans="9:9" x14ac:dyDescent="0.25">
      <c r="I1942" s="10" t="str">
        <f t="shared" si="30"/>
        <v/>
      </c>
    </row>
    <row r="1943" spans="9:9" x14ac:dyDescent="0.25">
      <c r="I1943" s="10" t="str">
        <f t="shared" si="30"/>
        <v/>
      </c>
    </row>
    <row r="1944" spans="9:9" x14ac:dyDescent="0.25">
      <c r="I1944" s="10" t="str">
        <f t="shared" si="30"/>
        <v/>
      </c>
    </row>
    <row r="1945" spans="9:9" x14ac:dyDescent="0.25">
      <c r="I1945" s="10" t="str">
        <f t="shared" si="30"/>
        <v/>
      </c>
    </row>
    <row r="1946" spans="9:9" x14ac:dyDescent="0.25">
      <c r="I1946" s="10" t="str">
        <f t="shared" si="30"/>
        <v/>
      </c>
    </row>
    <row r="1947" spans="9:9" x14ac:dyDescent="0.25">
      <c r="I1947" s="10" t="str">
        <f t="shared" si="30"/>
        <v/>
      </c>
    </row>
    <row r="1948" spans="9:9" x14ac:dyDescent="0.25">
      <c r="I1948" s="10" t="str">
        <f t="shared" si="30"/>
        <v/>
      </c>
    </row>
    <row r="1949" spans="9:9" x14ac:dyDescent="0.25">
      <c r="I1949" s="10" t="str">
        <f t="shared" si="30"/>
        <v/>
      </c>
    </row>
    <row r="1950" spans="9:9" x14ac:dyDescent="0.25">
      <c r="I1950" s="10" t="str">
        <f t="shared" si="30"/>
        <v/>
      </c>
    </row>
    <row r="1951" spans="9:9" x14ac:dyDescent="0.25">
      <c r="I1951" s="10" t="str">
        <f t="shared" si="30"/>
        <v/>
      </c>
    </row>
    <row r="1952" spans="9:9" x14ac:dyDescent="0.25">
      <c r="I1952" s="10" t="str">
        <f t="shared" si="30"/>
        <v/>
      </c>
    </row>
    <row r="1953" spans="9:9" x14ac:dyDescent="0.25">
      <c r="I1953" s="10" t="str">
        <f t="shared" si="30"/>
        <v/>
      </c>
    </row>
    <row r="1954" spans="9:9" x14ac:dyDescent="0.25">
      <c r="I1954" s="10" t="str">
        <f t="shared" si="30"/>
        <v/>
      </c>
    </row>
    <row r="1955" spans="9:9" x14ac:dyDescent="0.25">
      <c r="I1955" s="10" t="str">
        <f t="shared" si="30"/>
        <v/>
      </c>
    </row>
    <row r="1956" spans="9:9" x14ac:dyDescent="0.25">
      <c r="I1956" s="10" t="str">
        <f t="shared" si="30"/>
        <v/>
      </c>
    </row>
    <row r="1957" spans="9:9" x14ac:dyDescent="0.25">
      <c r="I1957" s="10" t="str">
        <f t="shared" si="30"/>
        <v/>
      </c>
    </row>
    <row r="1958" spans="9:9" x14ac:dyDescent="0.25">
      <c r="I1958" s="10" t="str">
        <f t="shared" si="30"/>
        <v/>
      </c>
    </row>
    <row r="1959" spans="9:9" x14ac:dyDescent="0.25">
      <c r="I1959" s="10" t="str">
        <f t="shared" si="30"/>
        <v/>
      </c>
    </row>
    <row r="1960" spans="9:9" x14ac:dyDescent="0.25">
      <c r="I1960" s="10" t="str">
        <f t="shared" si="30"/>
        <v/>
      </c>
    </row>
    <row r="1961" spans="9:9" x14ac:dyDescent="0.25">
      <c r="I1961" s="10" t="str">
        <f t="shared" si="30"/>
        <v/>
      </c>
    </row>
    <row r="1962" spans="9:9" x14ac:dyDescent="0.25">
      <c r="I1962" s="10" t="str">
        <f t="shared" si="30"/>
        <v/>
      </c>
    </row>
    <row r="1963" spans="9:9" x14ac:dyDescent="0.25">
      <c r="I1963" s="10" t="str">
        <f t="shared" si="30"/>
        <v/>
      </c>
    </row>
    <row r="1964" spans="9:9" x14ac:dyDescent="0.25">
      <c r="I1964" s="10" t="str">
        <f t="shared" si="30"/>
        <v/>
      </c>
    </row>
    <row r="1965" spans="9:9" x14ac:dyDescent="0.25">
      <c r="I1965" s="10" t="str">
        <f t="shared" si="30"/>
        <v/>
      </c>
    </row>
    <row r="1966" spans="9:9" x14ac:dyDescent="0.25">
      <c r="I1966" s="10" t="str">
        <f t="shared" si="30"/>
        <v/>
      </c>
    </row>
    <row r="1967" spans="9:9" x14ac:dyDescent="0.25">
      <c r="I1967" s="10" t="str">
        <f t="shared" si="30"/>
        <v/>
      </c>
    </row>
    <row r="1968" spans="9:9" x14ac:dyDescent="0.25">
      <c r="I1968" s="10" t="str">
        <f t="shared" si="30"/>
        <v/>
      </c>
    </row>
    <row r="1969" spans="9:9" x14ac:dyDescent="0.25">
      <c r="I1969" s="10" t="str">
        <f t="shared" si="30"/>
        <v/>
      </c>
    </row>
    <row r="1970" spans="9:9" x14ac:dyDescent="0.25">
      <c r="I1970" s="10" t="str">
        <f t="shared" si="30"/>
        <v/>
      </c>
    </row>
    <row r="1971" spans="9:9" x14ac:dyDescent="0.25">
      <c r="I1971" s="10" t="str">
        <f t="shared" si="30"/>
        <v/>
      </c>
    </row>
    <row r="1972" spans="9:9" x14ac:dyDescent="0.25">
      <c r="I1972" s="10" t="str">
        <f t="shared" si="30"/>
        <v/>
      </c>
    </row>
    <row r="1973" spans="9:9" x14ac:dyDescent="0.25">
      <c r="I1973" s="10" t="str">
        <f t="shared" si="30"/>
        <v/>
      </c>
    </row>
    <row r="1974" spans="9:9" x14ac:dyDescent="0.25">
      <c r="I1974" s="10" t="str">
        <f t="shared" si="30"/>
        <v/>
      </c>
    </row>
    <row r="1975" spans="9:9" x14ac:dyDescent="0.25">
      <c r="I1975" s="10" t="str">
        <f t="shared" si="30"/>
        <v/>
      </c>
    </row>
    <row r="1976" spans="9:9" x14ac:dyDescent="0.25">
      <c r="I1976" s="10" t="str">
        <f t="shared" si="30"/>
        <v/>
      </c>
    </row>
    <row r="1977" spans="9:9" x14ac:dyDescent="0.25">
      <c r="I1977" s="10" t="str">
        <f t="shared" si="30"/>
        <v/>
      </c>
    </row>
    <row r="1978" spans="9:9" x14ac:dyDescent="0.25">
      <c r="I1978" s="10" t="str">
        <f t="shared" si="30"/>
        <v/>
      </c>
    </row>
    <row r="1979" spans="9:9" x14ac:dyDescent="0.25">
      <c r="I1979" s="10" t="str">
        <f t="shared" si="30"/>
        <v/>
      </c>
    </row>
    <row r="1980" spans="9:9" x14ac:dyDescent="0.25">
      <c r="I1980" s="10" t="str">
        <f t="shared" si="30"/>
        <v/>
      </c>
    </row>
    <row r="1981" spans="9:9" x14ac:dyDescent="0.25">
      <c r="I1981" s="10" t="str">
        <f t="shared" si="30"/>
        <v/>
      </c>
    </row>
    <row r="1982" spans="9:9" x14ac:dyDescent="0.25">
      <c r="I1982" s="10" t="str">
        <f t="shared" si="30"/>
        <v/>
      </c>
    </row>
    <row r="1983" spans="9:9" x14ac:dyDescent="0.25">
      <c r="I1983" s="10" t="str">
        <f t="shared" si="30"/>
        <v/>
      </c>
    </row>
    <row r="1984" spans="9:9" x14ac:dyDescent="0.25">
      <c r="I1984" s="10" t="str">
        <f t="shared" si="30"/>
        <v/>
      </c>
    </row>
    <row r="1985" spans="9:9" x14ac:dyDescent="0.25">
      <c r="I1985" s="10" t="str">
        <f t="shared" si="30"/>
        <v/>
      </c>
    </row>
    <row r="1986" spans="9:9" x14ac:dyDescent="0.25">
      <c r="I1986" s="10" t="str">
        <f t="shared" si="30"/>
        <v/>
      </c>
    </row>
    <row r="1987" spans="9:9" x14ac:dyDescent="0.25">
      <c r="I1987" s="10" t="str">
        <f t="shared" ref="I1987:I2050" si="31">IFERROR(DATEVALUE(D1987),"")</f>
        <v/>
      </c>
    </row>
    <row r="1988" spans="9:9" x14ac:dyDescent="0.25">
      <c r="I1988" s="10" t="str">
        <f t="shared" si="31"/>
        <v/>
      </c>
    </row>
    <row r="1989" spans="9:9" x14ac:dyDescent="0.25">
      <c r="I1989" s="10" t="str">
        <f t="shared" si="31"/>
        <v/>
      </c>
    </row>
    <row r="1990" spans="9:9" x14ac:dyDescent="0.25">
      <c r="I1990" s="10" t="str">
        <f t="shared" si="31"/>
        <v/>
      </c>
    </row>
    <row r="1991" spans="9:9" x14ac:dyDescent="0.25">
      <c r="I1991" s="10" t="str">
        <f t="shared" si="31"/>
        <v/>
      </c>
    </row>
    <row r="1992" spans="9:9" x14ac:dyDescent="0.25">
      <c r="I1992" s="10" t="str">
        <f t="shared" si="31"/>
        <v/>
      </c>
    </row>
    <row r="1993" spans="9:9" x14ac:dyDescent="0.25">
      <c r="I1993" s="10" t="str">
        <f t="shared" si="31"/>
        <v/>
      </c>
    </row>
    <row r="1994" spans="9:9" x14ac:dyDescent="0.25">
      <c r="I1994" s="10" t="str">
        <f t="shared" si="31"/>
        <v/>
      </c>
    </row>
    <row r="1995" spans="9:9" x14ac:dyDescent="0.25">
      <c r="I1995" s="10" t="str">
        <f t="shared" si="31"/>
        <v/>
      </c>
    </row>
    <row r="1996" spans="9:9" x14ac:dyDescent="0.25">
      <c r="I1996" s="10" t="str">
        <f t="shared" si="31"/>
        <v/>
      </c>
    </row>
    <row r="1997" spans="9:9" x14ac:dyDescent="0.25">
      <c r="I1997" s="10" t="str">
        <f t="shared" si="31"/>
        <v/>
      </c>
    </row>
    <row r="1998" spans="9:9" x14ac:dyDescent="0.25">
      <c r="I1998" s="10" t="str">
        <f t="shared" si="31"/>
        <v/>
      </c>
    </row>
    <row r="1999" spans="9:9" x14ac:dyDescent="0.25">
      <c r="I1999" s="10" t="str">
        <f t="shared" si="31"/>
        <v/>
      </c>
    </row>
    <row r="2000" spans="9:9" x14ac:dyDescent="0.25">
      <c r="I2000" s="10" t="str">
        <f t="shared" si="31"/>
        <v/>
      </c>
    </row>
    <row r="2001" spans="9:9" x14ac:dyDescent="0.25">
      <c r="I2001" s="10" t="str">
        <f t="shared" si="31"/>
        <v/>
      </c>
    </row>
    <row r="2002" spans="9:9" x14ac:dyDescent="0.25">
      <c r="I2002" s="10" t="str">
        <f t="shared" si="31"/>
        <v/>
      </c>
    </row>
    <row r="2003" spans="9:9" x14ac:dyDescent="0.25">
      <c r="I2003" s="10" t="str">
        <f t="shared" si="31"/>
        <v/>
      </c>
    </row>
    <row r="2004" spans="9:9" x14ac:dyDescent="0.25">
      <c r="I2004" s="10" t="str">
        <f t="shared" si="31"/>
        <v/>
      </c>
    </row>
    <row r="2005" spans="9:9" x14ac:dyDescent="0.25">
      <c r="I2005" s="10" t="str">
        <f t="shared" si="31"/>
        <v/>
      </c>
    </row>
    <row r="2006" spans="9:9" x14ac:dyDescent="0.25">
      <c r="I2006" s="10" t="str">
        <f t="shared" si="31"/>
        <v/>
      </c>
    </row>
    <row r="2007" spans="9:9" x14ac:dyDescent="0.25">
      <c r="I2007" s="10" t="str">
        <f t="shared" si="31"/>
        <v/>
      </c>
    </row>
    <row r="2008" spans="9:9" x14ac:dyDescent="0.25">
      <c r="I2008" s="10" t="str">
        <f t="shared" si="31"/>
        <v/>
      </c>
    </row>
    <row r="2009" spans="9:9" x14ac:dyDescent="0.25">
      <c r="I2009" s="10" t="str">
        <f t="shared" si="31"/>
        <v/>
      </c>
    </row>
    <row r="2010" spans="9:9" x14ac:dyDescent="0.25">
      <c r="I2010" s="10" t="str">
        <f t="shared" si="31"/>
        <v/>
      </c>
    </row>
    <row r="2011" spans="9:9" x14ac:dyDescent="0.25">
      <c r="I2011" s="10" t="str">
        <f t="shared" si="31"/>
        <v/>
      </c>
    </row>
    <row r="2012" spans="9:9" x14ac:dyDescent="0.25">
      <c r="I2012" s="10" t="str">
        <f t="shared" si="31"/>
        <v/>
      </c>
    </row>
    <row r="2013" spans="9:9" x14ac:dyDescent="0.25">
      <c r="I2013" s="10" t="str">
        <f t="shared" si="31"/>
        <v/>
      </c>
    </row>
    <row r="2014" spans="9:9" x14ac:dyDescent="0.25">
      <c r="I2014" s="10" t="str">
        <f t="shared" si="31"/>
        <v/>
      </c>
    </row>
    <row r="2015" spans="9:9" x14ac:dyDescent="0.25">
      <c r="I2015" s="10" t="str">
        <f t="shared" si="31"/>
        <v/>
      </c>
    </row>
    <row r="2016" spans="9:9" x14ac:dyDescent="0.25">
      <c r="I2016" s="10" t="str">
        <f t="shared" si="31"/>
        <v/>
      </c>
    </row>
    <row r="2017" spans="9:9" x14ac:dyDescent="0.25">
      <c r="I2017" s="10" t="str">
        <f t="shared" si="31"/>
        <v/>
      </c>
    </row>
    <row r="2018" spans="9:9" x14ac:dyDescent="0.25">
      <c r="I2018" s="10" t="str">
        <f t="shared" si="31"/>
        <v/>
      </c>
    </row>
    <row r="2019" spans="9:9" x14ac:dyDescent="0.25">
      <c r="I2019" s="10" t="str">
        <f t="shared" si="31"/>
        <v/>
      </c>
    </row>
    <row r="2020" spans="9:9" x14ac:dyDescent="0.25">
      <c r="I2020" s="10" t="str">
        <f t="shared" si="31"/>
        <v/>
      </c>
    </row>
    <row r="2021" spans="9:9" x14ac:dyDescent="0.25">
      <c r="I2021" s="10" t="str">
        <f t="shared" si="31"/>
        <v/>
      </c>
    </row>
    <row r="2022" spans="9:9" x14ac:dyDescent="0.25">
      <c r="I2022" s="10" t="str">
        <f t="shared" si="31"/>
        <v/>
      </c>
    </row>
    <row r="2023" spans="9:9" x14ac:dyDescent="0.25">
      <c r="I2023" s="10" t="str">
        <f t="shared" si="31"/>
        <v/>
      </c>
    </row>
    <row r="2024" spans="9:9" x14ac:dyDescent="0.25">
      <c r="I2024" s="10" t="str">
        <f t="shared" si="31"/>
        <v/>
      </c>
    </row>
    <row r="2025" spans="9:9" x14ac:dyDescent="0.25">
      <c r="I2025" s="10" t="str">
        <f t="shared" si="31"/>
        <v/>
      </c>
    </row>
    <row r="2026" spans="9:9" x14ac:dyDescent="0.25">
      <c r="I2026" s="10" t="str">
        <f t="shared" si="31"/>
        <v/>
      </c>
    </row>
    <row r="2027" spans="9:9" x14ac:dyDescent="0.25">
      <c r="I2027" s="10" t="str">
        <f t="shared" si="31"/>
        <v/>
      </c>
    </row>
    <row r="2028" spans="9:9" x14ac:dyDescent="0.25">
      <c r="I2028" s="10" t="str">
        <f t="shared" si="31"/>
        <v/>
      </c>
    </row>
    <row r="2029" spans="9:9" x14ac:dyDescent="0.25">
      <c r="I2029" s="10" t="str">
        <f t="shared" si="31"/>
        <v/>
      </c>
    </row>
    <row r="2030" spans="9:9" x14ac:dyDescent="0.25">
      <c r="I2030" s="10" t="str">
        <f t="shared" si="31"/>
        <v/>
      </c>
    </row>
    <row r="2031" spans="9:9" x14ac:dyDescent="0.25">
      <c r="I2031" s="10" t="str">
        <f t="shared" si="31"/>
        <v/>
      </c>
    </row>
    <row r="2032" spans="9:9" x14ac:dyDescent="0.25">
      <c r="I2032" s="10" t="str">
        <f t="shared" si="31"/>
        <v/>
      </c>
    </row>
    <row r="2033" spans="9:9" x14ac:dyDescent="0.25">
      <c r="I2033" s="10" t="str">
        <f t="shared" si="31"/>
        <v/>
      </c>
    </row>
    <row r="2034" spans="9:9" x14ac:dyDescent="0.25">
      <c r="I2034" s="10" t="str">
        <f t="shared" si="31"/>
        <v/>
      </c>
    </row>
    <row r="2035" spans="9:9" x14ac:dyDescent="0.25">
      <c r="I2035" s="10" t="str">
        <f t="shared" si="31"/>
        <v/>
      </c>
    </row>
    <row r="2036" spans="9:9" x14ac:dyDescent="0.25">
      <c r="I2036" s="10" t="str">
        <f t="shared" si="31"/>
        <v/>
      </c>
    </row>
    <row r="2037" spans="9:9" x14ac:dyDescent="0.25">
      <c r="I2037" s="10" t="str">
        <f t="shared" si="31"/>
        <v/>
      </c>
    </row>
    <row r="2038" spans="9:9" x14ac:dyDescent="0.25">
      <c r="I2038" s="10" t="str">
        <f t="shared" si="31"/>
        <v/>
      </c>
    </row>
    <row r="2039" spans="9:9" x14ac:dyDescent="0.25">
      <c r="I2039" s="10" t="str">
        <f t="shared" si="31"/>
        <v/>
      </c>
    </row>
    <row r="2040" spans="9:9" x14ac:dyDescent="0.25">
      <c r="I2040" s="10" t="str">
        <f t="shared" si="31"/>
        <v/>
      </c>
    </row>
    <row r="2041" spans="9:9" x14ac:dyDescent="0.25">
      <c r="I2041" s="10" t="str">
        <f t="shared" si="31"/>
        <v/>
      </c>
    </row>
    <row r="2042" spans="9:9" x14ac:dyDescent="0.25">
      <c r="I2042" s="10" t="str">
        <f t="shared" si="31"/>
        <v/>
      </c>
    </row>
    <row r="2043" spans="9:9" x14ac:dyDescent="0.25">
      <c r="I2043" s="10" t="str">
        <f t="shared" si="31"/>
        <v/>
      </c>
    </row>
    <row r="2044" spans="9:9" x14ac:dyDescent="0.25">
      <c r="I2044" s="10" t="str">
        <f t="shared" si="31"/>
        <v/>
      </c>
    </row>
    <row r="2045" spans="9:9" x14ac:dyDescent="0.25">
      <c r="I2045" s="10" t="str">
        <f t="shared" si="31"/>
        <v/>
      </c>
    </row>
    <row r="2046" spans="9:9" x14ac:dyDescent="0.25">
      <c r="I2046" s="10" t="str">
        <f t="shared" si="31"/>
        <v/>
      </c>
    </row>
    <row r="2047" spans="9:9" x14ac:dyDescent="0.25">
      <c r="I2047" s="10" t="str">
        <f t="shared" si="31"/>
        <v/>
      </c>
    </row>
    <row r="2048" spans="9:9" x14ac:dyDescent="0.25">
      <c r="I2048" s="10" t="str">
        <f t="shared" si="31"/>
        <v/>
      </c>
    </row>
    <row r="2049" spans="9:9" x14ac:dyDescent="0.25">
      <c r="I2049" s="10" t="str">
        <f t="shared" si="31"/>
        <v/>
      </c>
    </row>
    <row r="2050" spans="9:9" x14ac:dyDescent="0.25">
      <c r="I2050" s="10" t="str">
        <f t="shared" si="31"/>
        <v/>
      </c>
    </row>
    <row r="2051" spans="9:9" x14ac:dyDescent="0.25">
      <c r="I2051" s="10" t="str">
        <f t="shared" ref="I2051:I2114" si="32">IFERROR(DATEVALUE(D2051),"")</f>
        <v/>
      </c>
    </row>
    <row r="2052" spans="9:9" x14ac:dyDescent="0.25">
      <c r="I2052" s="10" t="str">
        <f t="shared" si="32"/>
        <v/>
      </c>
    </row>
    <row r="2053" spans="9:9" x14ac:dyDescent="0.25">
      <c r="I2053" s="10" t="str">
        <f t="shared" si="32"/>
        <v/>
      </c>
    </row>
    <row r="2054" spans="9:9" x14ac:dyDescent="0.25">
      <c r="I2054" s="10" t="str">
        <f t="shared" si="32"/>
        <v/>
      </c>
    </row>
    <row r="2055" spans="9:9" x14ac:dyDescent="0.25">
      <c r="I2055" s="10" t="str">
        <f t="shared" si="32"/>
        <v/>
      </c>
    </row>
    <row r="2056" spans="9:9" x14ac:dyDescent="0.25">
      <c r="I2056" s="10" t="str">
        <f t="shared" si="32"/>
        <v/>
      </c>
    </row>
    <row r="2057" spans="9:9" x14ac:dyDescent="0.25">
      <c r="I2057" s="10" t="str">
        <f t="shared" si="32"/>
        <v/>
      </c>
    </row>
    <row r="2058" spans="9:9" x14ac:dyDescent="0.25">
      <c r="I2058" s="10" t="str">
        <f t="shared" si="32"/>
        <v/>
      </c>
    </row>
    <row r="2059" spans="9:9" x14ac:dyDescent="0.25">
      <c r="I2059" s="10" t="str">
        <f t="shared" si="32"/>
        <v/>
      </c>
    </row>
    <row r="2060" spans="9:9" x14ac:dyDescent="0.25">
      <c r="I2060" s="10" t="str">
        <f t="shared" si="32"/>
        <v/>
      </c>
    </row>
    <row r="2061" spans="9:9" x14ac:dyDescent="0.25">
      <c r="I2061" s="10" t="str">
        <f t="shared" si="32"/>
        <v/>
      </c>
    </row>
    <row r="2062" spans="9:9" x14ac:dyDescent="0.25">
      <c r="I2062" s="10" t="str">
        <f t="shared" si="32"/>
        <v/>
      </c>
    </row>
    <row r="2063" spans="9:9" x14ac:dyDescent="0.25">
      <c r="I2063" s="10" t="str">
        <f t="shared" si="32"/>
        <v/>
      </c>
    </row>
    <row r="2064" spans="9:9" x14ac:dyDescent="0.25">
      <c r="I2064" s="10" t="str">
        <f t="shared" si="32"/>
        <v/>
      </c>
    </row>
    <row r="2065" spans="9:9" x14ac:dyDescent="0.25">
      <c r="I2065" s="10" t="str">
        <f t="shared" si="32"/>
        <v/>
      </c>
    </row>
    <row r="2066" spans="9:9" x14ac:dyDescent="0.25">
      <c r="I2066" s="10" t="str">
        <f t="shared" si="32"/>
        <v/>
      </c>
    </row>
    <row r="2067" spans="9:9" x14ac:dyDescent="0.25">
      <c r="I2067" s="10" t="str">
        <f t="shared" si="32"/>
        <v/>
      </c>
    </row>
    <row r="2068" spans="9:9" x14ac:dyDescent="0.25">
      <c r="I2068" s="10" t="str">
        <f t="shared" si="32"/>
        <v/>
      </c>
    </row>
    <row r="2069" spans="9:9" x14ac:dyDescent="0.25">
      <c r="I2069" s="10" t="str">
        <f t="shared" si="32"/>
        <v/>
      </c>
    </row>
    <row r="2070" spans="9:9" x14ac:dyDescent="0.25">
      <c r="I2070" s="10" t="str">
        <f t="shared" si="32"/>
        <v/>
      </c>
    </row>
    <row r="2071" spans="9:9" x14ac:dyDescent="0.25">
      <c r="I2071" s="10" t="str">
        <f t="shared" si="32"/>
        <v/>
      </c>
    </row>
    <row r="2072" spans="9:9" x14ac:dyDescent="0.25">
      <c r="I2072" s="10" t="str">
        <f t="shared" si="32"/>
        <v/>
      </c>
    </row>
    <row r="2073" spans="9:9" x14ac:dyDescent="0.25">
      <c r="I2073" s="10" t="str">
        <f t="shared" si="32"/>
        <v/>
      </c>
    </row>
    <row r="2074" spans="9:9" x14ac:dyDescent="0.25">
      <c r="I2074" s="10" t="str">
        <f t="shared" si="32"/>
        <v/>
      </c>
    </row>
    <row r="2075" spans="9:9" x14ac:dyDescent="0.25">
      <c r="I2075" s="10" t="str">
        <f t="shared" si="32"/>
        <v/>
      </c>
    </row>
    <row r="2076" spans="9:9" x14ac:dyDescent="0.25">
      <c r="I2076" s="10" t="str">
        <f t="shared" si="32"/>
        <v/>
      </c>
    </row>
    <row r="2077" spans="9:9" x14ac:dyDescent="0.25">
      <c r="I2077" s="10" t="str">
        <f t="shared" si="32"/>
        <v/>
      </c>
    </row>
    <row r="2078" spans="9:9" x14ac:dyDescent="0.25">
      <c r="I2078" s="10" t="str">
        <f t="shared" si="32"/>
        <v/>
      </c>
    </row>
    <row r="2079" spans="9:9" x14ac:dyDescent="0.25">
      <c r="I2079" s="10" t="str">
        <f t="shared" si="32"/>
        <v/>
      </c>
    </row>
    <row r="2080" spans="9:9" x14ac:dyDescent="0.25">
      <c r="I2080" s="10" t="str">
        <f t="shared" si="32"/>
        <v/>
      </c>
    </row>
    <row r="2081" spans="9:9" x14ac:dyDescent="0.25">
      <c r="I2081" s="10" t="str">
        <f t="shared" si="32"/>
        <v/>
      </c>
    </row>
    <row r="2082" spans="9:9" x14ac:dyDescent="0.25">
      <c r="I2082" s="10" t="str">
        <f t="shared" si="32"/>
        <v/>
      </c>
    </row>
    <row r="2083" spans="9:9" x14ac:dyDescent="0.25">
      <c r="I2083" s="10" t="str">
        <f t="shared" si="32"/>
        <v/>
      </c>
    </row>
    <row r="2084" spans="9:9" x14ac:dyDescent="0.25">
      <c r="I2084" s="10" t="str">
        <f t="shared" si="32"/>
        <v/>
      </c>
    </row>
    <row r="2085" spans="9:9" x14ac:dyDescent="0.25">
      <c r="I2085" s="10" t="str">
        <f t="shared" si="32"/>
        <v/>
      </c>
    </row>
    <row r="2086" spans="9:9" x14ac:dyDescent="0.25">
      <c r="I2086" s="10" t="str">
        <f t="shared" si="32"/>
        <v/>
      </c>
    </row>
    <row r="2087" spans="9:9" x14ac:dyDescent="0.25">
      <c r="I2087" s="10" t="str">
        <f t="shared" si="32"/>
        <v/>
      </c>
    </row>
    <row r="2088" spans="9:9" x14ac:dyDescent="0.25">
      <c r="I2088" s="10" t="str">
        <f t="shared" si="32"/>
        <v/>
      </c>
    </row>
    <row r="2089" spans="9:9" x14ac:dyDescent="0.25">
      <c r="I2089" s="10" t="str">
        <f t="shared" si="32"/>
        <v/>
      </c>
    </row>
    <row r="2090" spans="9:9" x14ac:dyDescent="0.25">
      <c r="I2090" s="10" t="str">
        <f t="shared" si="32"/>
        <v/>
      </c>
    </row>
    <row r="2091" spans="9:9" x14ac:dyDescent="0.25">
      <c r="I2091" s="10" t="str">
        <f t="shared" si="32"/>
        <v/>
      </c>
    </row>
    <row r="2092" spans="9:9" x14ac:dyDescent="0.25">
      <c r="I2092" s="10" t="str">
        <f t="shared" si="32"/>
        <v/>
      </c>
    </row>
    <row r="2093" spans="9:9" x14ac:dyDescent="0.25">
      <c r="I2093" s="10" t="str">
        <f t="shared" si="32"/>
        <v/>
      </c>
    </row>
    <row r="2094" spans="9:9" x14ac:dyDescent="0.25">
      <c r="I2094" s="10" t="str">
        <f t="shared" si="32"/>
        <v/>
      </c>
    </row>
    <row r="2095" spans="9:9" x14ac:dyDescent="0.25">
      <c r="I2095" s="10" t="str">
        <f t="shared" si="32"/>
        <v/>
      </c>
    </row>
    <row r="2096" spans="9:9" x14ac:dyDescent="0.25">
      <c r="I2096" s="10" t="str">
        <f t="shared" si="32"/>
        <v/>
      </c>
    </row>
    <row r="2097" spans="9:9" x14ac:dyDescent="0.25">
      <c r="I2097" s="10" t="str">
        <f t="shared" si="32"/>
        <v/>
      </c>
    </row>
    <row r="2098" spans="9:9" x14ac:dyDescent="0.25">
      <c r="I2098" s="10" t="str">
        <f t="shared" si="32"/>
        <v/>
      </c>
    </row>
    <row r="2099" spans="9:9" x14ac:dyDescent="0.25">
      <c r="I2099" s="10" t="str">
        <f t="shared" si="32"/>
        <v/>
      </c>
    </row>
    <row r="2100" spans="9:9" x14ac:dyDescent="0.25">
      <c r="I2100" s="10" t="str">
        <f t="shared" si="32"/>
        <v/>
      </c>
    </row>
    <row r="2101" spans="9:9" x14ac:dyDescent="0.25">
      <c r="I2101" s="10" t="str">
        <f t="shared" si="32"/>
        <v/>
      </c>
    </row>
    <row r="2102" spans="9:9" x14ac:dyDescent="0.25">
      <c r="I2102" s="10" t="str">
        <f t="shared" si="32"/>
        <v/>
      </c>
    </row>
    <row r="2103" spans="9:9" x14ac:dyDescent="0.25">
      <c r="I2103" s="10" t="str">
        <f t="shared" si="32"/>
        <v/>
      </c>
    </row>
    <row r="2104" spans="9:9" x14ac:dyDescent="0.25">
      <c r="I2104" s="10" t="str">
        <f t="shared" si="32"/>
        <v/>
      </c>
    </row>
    <row r="2105" spans="9:9" x14ac:dyDescent="0.25">
      <c r="I2105" s="10" t="str">
        <f t="shared" si="32"/>
        <v/>
      </c>
    </row>
    <row r="2106" spans="9:9" x14ac:dyDescent="0.25">
      <c r="I2106" s="10" t="str">
        <f t="shared" si="32"/>
        <v/>
      </c>
    </row>
    <row r="2107" spans="9:9" x14ac:dyDescent="0.25">
      <c r="I2107" s="10" t="str">
        <f t="shared" si="32"/>
        <v/>
      </c>
    </row>
    <row r="2108" spans="9:9" x14ac:dyDescent="0.25">
      <c r="I2108" s="10" t="str">
        <f t="shared" si="32"/>
        <v/>
      </c>
    </row>
    <row r="2109" spans="9:9" x14ac:dyDescent="0.25">
      <c r="I2109" s="10" t="str">
        <f t="shared" si="32"/>
        <v/>
      </c>
    </row>
    <row r="2110" spans="9:9" x14ac:dyDescent="0.25">
      <c r="I2110" s="10" t="str">
        <f t="shared" si="32"/>
        <v/>
      </c>
    </row>
    <row r="2111" spans="9:9" x14ac:dyDescent="0.25">
      <c r="I2111" s="10" t="str">
        <f t="shared" si="32"/>
        <v/>
      </c>
    </row>
    <row r="2112" spans="9:9" x14ac:dyDescent="0.25">
      <c r="I2112" s="10" t="str">
        <f t="shared" si="32"/>
        <v/>
      </c>
    </row>
    <row r="2113" spans="9:9" x14ac:dyDescent="0.25">
      <c r="I2113" s="10" t="str">
        <f t="shared" si="32"/>
        <v/>
      </c>
    </row>
    <row r="2114" spans="9:9" x14ac:dyDescent="0.25">
      <c r="I2114" s="10" t="str">
        <f t="shared" si="32"/>
        <v/>
      </c>
    </row>
    <row r="2115" spans="9:9" x14ac:dyDescent="0.25">
      <c r="I2115" s="10" t="str">
        <f t="shared" ref="I2115:I2178" si="33">IFERROR(DATEVALUE(D2115),"")</f>
        <v/>
      </c>
    </row>
    <row r="2116" spans="9:9" x14ac:dyDescent="0.25">
      <c r="I2116" s="10" t="str">
        <f t="shared" si="33"/>
        <v/>
      </c>
    </row>
    <row r="2117" spans="9:9" x14ac:dyDescent="0.25">
      <c r="I2117" s="10" t="str">
        <f t="shared" si="33"/>
        <v/>
      </c>
    </row>
    <row r="2118" spans="9:9" x14ac:dyDescent="0.25">
      <c r="I2118" s="10" t="str">
        <f t="shared" si="33"/>
        <v/>
      </c>
    </row>
    <row r="2119" spans="9:9" x14ac:dyDescent="0.25">
      <c r="I2119" s="10" t="str">
        <f t="shared" si="33"/>
        <v/>
      </c>
    </row>
    <row r="2120" spans="9:9" x14ac:dyDescent="0.25">
      <c r="I2120" s="10" t="str">
        <f t="shared" si="33"/>
        <v/>
      </c>
    </row>
    <row r="2121" spans="9:9" x14ac:dyDescent="0.25">
      <c r="I2121" s="10" t="str">
        <f t="shared" si="33"/>
        <v/>
      </c>
    </row>
    <row r="2122" spans="9:9" x14ac:dyDescent="0.25">
      <c r="I2122" s="10" t="str">
        <f t="shared" si="33"/>
        <v/>
      </c>
    </row>
    <row r="2123" spans="9:9" x14ac:dyDescent="0.25">
      <c r="I2123" s="10" t="str">
        <f t="shared" si="33"/>
        <v/>
      </c>
    </row>
    <row r="2124" spans="9:9" x14ac:dyDescent="0.25">
      <c r="I2124" s="10" t="str">
        <f t="shared" si="33"/>
        <v/>
      </c>
    </row>
    <row r="2125" spans="9:9" x14ac:dyDescent="0.25">
      <c r="I2125" s="10" t="str">
        <f t="shared" si="33"/>
        <v/>
      </c>
    </row>
    <row r="2126" spans="9:9" x14ac:dyDescent="0.25">
      <c r="I2126" s="10" t="str">
        <f t="shared" si="33"/>
        <v/>
      </c>
    </row>
    <row r="2127" spans="9:9" x14ac:dyDescent="0.25">
      <c r="I2127" s="10" t="str">
        <f t="shared" si="33"/>
        <v/>
      </c>
    </row>
    <row r="2128" spans="9:9" x14ac:dyDescent="0.25">
      <c r="I2128" s="10" t="str">
        <f t="shared" si="33"/>
        <v/>
      </c>
    </row>
    <row r="2129" spans="9:9" x14ac:dyDescent="0.25">
      <c r="I2129" s="10" t="str">
        <f t="shared" si="33"/>
        <v/>
      </c>
    </row>
    <row r="2130" spans="9:9" x14ac:dyDescent="0.25">
      <c r="I2130" s="10" t="str">
        <f t="shared" si="33"/>
        <v/>
      </c>
    </row>
    <row r="2131" spans="9:9" x14ac:dyDescent="0.25">
      <c r="I2131" s="10" t="str">
        <f t="shared" si="33"/>
        <v/>
      </c>
    </row>
    <row r="2132" spans="9:9" x14ac:dyDescent="0.25">
      <c r="I2132" s="10" t="str">
        <f t="shared" si="33"/>
        <v/>
      </c>
    </row>
    <row r="2133" spans="9:9" x14ac:dyDescent="0.25">
      <c r="I2133" s="10" t="str">
        <f t="shared" si="33"/>
        <v/>
      </c>
    </row>
    <row r="2134" spans="9:9" x14ac:dyDescent="0.25">
      <c r="I2134" s="10" t="str">
        <f t="shared" si="33"/>
        <v/>
      </c>
    </row>
    <row r="2135" spans="9:9" x14ac:dyDescent="0.25">
      <c r="I2135" s="10" t="str">
        <f t="shared" si="33"/>
        <v/>
      </c>
    </row>
    <row r="2136" spans="9:9" x14ac:dyDescent="0.25">
      <c r="I2136" s="10" t="str">
        <f t="shared" si="33"/>
        <v/>
      </c>
    </row>
    <row r="2137" spans="9:9" x14ac:dyDescent="0.25">
      <c r="I2137" s="10" t="str">
        <f t="shared" si="33"/>
        <v/>
      </c>
    </row>
    <row r="2138" spans="9:9" x14ac:dyDescent="0.25">
      <c r="I2138" s="10" t="str">
        <f t="shared" si="33"/>
        <v/>
      </c>
    </row>
    <row r="2139" spans="9:9" x14ac:dyDescent="0.25">
      <c r="I2139" s="10" t="str">
        <f t="shared" si="33"/>
        <v/>
      </c>
    </row>
    <row r="2140" spans="9:9" x14ac:dyDescent="0.25">
      <c r="I2140" s="10" t="str">
        <f t="shared" si="33"/>
        <v/>
      </c>
    </row>
    <row r="2141" spans="9:9" x14ac:dyDescent="0.25">
      <c r="I2141" s="10" t="str">
        <f t="shared" si="33"/>
        <v/>
      </c>
    </row>
    <row r="2142" spans="9:9" x14ac:dyDescent="0.25">
      <c r="I2142" s="10" t="str">
        <f t="shared" si="33"/>
        <v/>
      </c>
    </row>
    <row r="2143" spans="9:9" x14ac:dyDescent="0.25">
      <c r="I2143" s="10" t="str">
        <f t="shared" si="33"/>
        <v/>
      </c>
    </row>
    <row r="2144" spans="9:9" x14ac:dyDescent="0.25">
      <c r="I2144" s="10" t="str">
        <f t="shared" si="33"/>
        <v/>
      </c>
    </row>
    <row r="2145" spans="9:9" x14ac:dyDescent="0.25">
      <c r="I2145" s="10" t="str">
        <f t="shared" si="33"/>
        <v/>
      </c>
    </row>
    <row r="2146" spans="9:9" x14ac:dyDescent="0.25">
      <c r="I2146" s="10" t="str">
        <f t="shared" si="33"/>
        <v/>
      </c>
    </row>
    <row r="2147" spans="9:9" x14ac:dyDescent="0.25">
      <c r="I2147" s="10" t="str">
        <f t="shared" si="33"/>
        <v/>
      </c>
    </row>
    <row r="2148" spans="9:9" x14ac:dyDescent="0.25">
      <c r="I2148" s="10" t="str">
        <f t="shared" si="33"/>
        <v/>
      </c>
    </row>
    <row r="2149" spans="9:9" x14ac:dyDescent="0.25">
      <c r="I2149" s="10" t="str">
        <f t="shared" si="33"/>
        <v/>
      </c>
    </row>
    <row r="2150" spans="9:9" x14ac:dyDescent="0.25">
      <c r="I2150" s="10" t="str">
        <f t="shared" si="33"/>
        <v/>
      </c>
    </row>
    <row r="2151" spans="9:9" x14ac:dyDescent="0.25">
      <c r="I2151" s="10" t="str">
        <f t="shared" si="33"/>
        <v/>
      </c>
    </row>
    <row r="2152" spans="9:9" x14ac:dyDescent="0.25">
      <c r="I2152" s="10" t="str">
        <f t="shared" si="33"/>
        <v/>
      </c>
    </row>
    <row r="2153" spans="9:9" x14ac:dyDescent="0.25">
      <c r="I2153" s="10" t="str">
        <f t="shared" si="33"/>
        <v/>
      </c>
    </row>
    <row r="2154" spans="9:9" x14ac:dyDescent="0.25">
      <c r="I2154" s="10" t="str">
        <f t="shared" si="33"/>
        <v/>
      </c>
    </row>
    <row r="2155" spans="9:9" x14ac:dyDescent="0.25">
      <c r="I2155" s="10" t="str">
        <f t="shared" si="33"/>
        <v/>
      </c>
    </row>
    <row r="2156" spans="9:9" x14ac:dyDescent="0.25">
      <c r="I2156" s="10" t="str">
        <f t="shared" si="33"/>
        <v/>
      </c>
    </row>
    <row r="2157" spans="9:9" x14ac:dyDescent="0.25">
      <c r="I2157" s="10" t="str">
        <f t="shared" si="33"/>
        <v/>
      </c>
    </row>
    <row r="2158" spans="9:9" x14ac:dyDescent="0.25">
      <c r="I2158" s="10" t="str">
        <f t="shared" si="33"/>
        <v/>
      </c>
    </row>
    <row r="2159" spans="9:9" x14ac:dyDescent="0.25">
      <c r="I2159" s="10" t="str">
        <f t="shared" si="33"/>
        <v/>
      </c>
    </row>
    <row r="2160" spans="9:9" x14ac:dyDescent="0.25">
      <c r="I2160" s="10" t="str">
        <f t="shared" si="33"/>
        <v/>
      </c>
    </row>
    <row r="2161" spans="9:9" x14ac:dyDescent="0.25">
      <c r="I2161" s="10" t="str">
        <f t="shared" si="33"/>
        <v/>
      </c>
    </row>
    <row r="2162" spans="9:9" x14ac:dyDescent="0.25">
      <c r="I2162" s="10" t="str">
        <f t="shared" si="33"/>
        <v/>
      </c>
    </row>
    <row r="2163" spans="9:9" x14ac:dyDescent="0.25">
      <c r="I2163" s="10" t="str">
        <f t="shared" si="33"/>
        <v/>
      </c>
    </row>
    <row r="2164" spans="9:9" x14ac:dyDescent="0.25">
      <c r="I2164" s="10" t="str">
        <f t="shared" si="33"/>
        <v/>
      </c>
    </row>
    <row r="2165" spans="9:9" x14ac:dyDescent="0.25">
      <c r="I2165" s="10" t="str">
        <f t="shared" si="33"/>
        <v/>
      </c>
    </row>
    <row r="2166" spans="9:9" x14ac:dyDescent="0.25">
      <c r="I2166" s="10" t="str">
        <f t="shared" si="33"/>
        <v/>
      </c>
    </row>
    <row r="2167" spans="9:9" x14ac:dyDescent="0.25">
      <c r="I2167" s="10" t="str">
        <f t="shared" si="33"/>
        <v/>
      </c>
    </row>
    <row r="2168" spans="9:9" x14ac:dyDescent="0.25">
      <c r="I2168" s="10" t="str">
        <f t="shared" si="33"/>
        <v/>
      </c>
    </row>
    <row r="2169" spans="9:9" x14ac:dyDescent="0.25">
      <c r="I2169" s="10" t="str">
        <f t="shared" si="33"/>
        <v/>
      </c>
    </row>
    <row r="2170" spans="9:9" x14ac:dyDescent="0.25">
      <c r="I2170" s="10" t="str">
        <f t="shared" si="33"/>
        <v/>
      </c>
    </row>
    <row r="2171" spans="9:9" x14ac:dyDescent="0.25">
      <c r="I2171" s="10" t="str">
        <f t="shared" si="33"/>
        <v/>
      </c>
    </row>
    <row r="2172" spans="9:9" x14ac:dyDescent="0.25">
      <c r="I2172" s="10" t="str">
        <f t="shared" si="33"/>
        <v/>
      </c>
    </row>
    <row r="2173" spans="9:9" x14ac:dyDescent="0.25">
      <c r="I2173" s="10" t="str">
        <f t="shared" si="33"/>
        <v/>
      </c>
    </row>
    <row r="2174" spans="9:9" x14ac:dyDescent="0.25">
      <c r="I2174" s="10" t="str">
        <f t="shared" si="33"/>
        <v/>
      </c>
    </row>
    <row r="2175" spans="9:9" x14ac:dyDescent="0.25">
      <c r="I2175" s="10" t="str">
        <f t="shared" si="33"/>
        <v/>
      </c>
    </row>
    <row r="2176" spans="9:9" x14ac:dyDescent="0.25">
      <c r="I2176" s="10" t="str">
        <f t="shared" si="33"/>
        <v/>
      </c>
    </row>
    <row r="2177" spans="9:9" x14ac:dyDescent="0.25">
      <c r="I2177" s="10" t="str">
        <f t="shared" si="33"/>
        <v/>
      </c>
    </row>
    <row r="2178" spans="9:9" x14ac:dyDescent="0.25">
      <c r="I2178" s="10" t="str">
        <f t="shared" si="33"/>
        <v/>
      </c>
    </row>
    <row r="2179" spans="9:9" x14ac:dyDescent="0.25">
      <c r="I2179" s="10" t="str">
        <f t="shared" ref="I2179:I2242" si="34">IFERROR(DATEVALUE(D2179),"")</f>
        <v/>
      </c>
    </row>
    <row r="2180" spans="9:9" x14ac:dyDescent="0.25">
      <c r="I2180" s="10" t="str">
        <f t="shared" si="34"/>
        <v/>
      </c>
    </row>
    <row r="2181" spans="9:9" x14ac:dyDescent="0.25">
      <c r="I2181" s="10" t="str">
        <f t="shared" si="34"/>
        <v/>
      </c>
    </row>
    <row r="2182" spans="9:9" x14ac:dyDescent="0.25">
      <c r="I2182" s="10" t="str">
        <f t="shared" si="34"/>
        <v/>
      </c>
    </row>
    <row r="2183" spans="9:9" x14ac:dyDescent="0.25">
      <c r="I2183" s="10" t="str">
        <f t="shared" si="34"/>
        <v/>
      </c>
    </row>
    <row r="2184" spans="9:9" x14ac:dyDescent="0.25">
      <c r="I2184" s="10" t="str">
        <f t="shared" si="34"/>
        <v/>
      </c>
    </row>
    <row r="2185" spans="9:9" x14ac:dyDescent="0.25">
      <c r="I2185" s="10" t="str">
        <f t="shared" si="34"/>
        <v/>
      </c>
    </row>
    <row r="2186" spans="9:9" x14ac:dyDescent="0.25">
      <c r="I2186" s="10" t="str">
        <f t="shared" si="34"/>
        <v/>
      </c>
    </row>
    <row r="2187" spans="9:9" x14ac:dyDescent="0.25">
      <c r="I2187" s="10" t="str">
        <f t="shared" si="34"/>
        <v/>
      </c>
    </row>
    <row r="2188" spans="9:9" x14ac:dyDescent="0.25">
      <c r="I2188" s="10" t="str">
        <f t="shared" si="34"/>
        <v/>
      </c>
    </row>
    <row r="2189" spans="9:9" x14ac:dyDescent="0.25">
      <c r="I2189" s="10" t="str">
        <f t="shared" si="34"/>
        <v/>
      </c>
    </row>
    <row r="2190" spans="9:9" x14ac:dyDescent="0.25">
      <c r="I2190" s="10" t="str">
        <f t="shared" si="34"/>
        <v/>
      </c>
    </row>
    <row r="2191" spans="9:9" x14ac:dyDescent="0.25">
      <c r="I2191" s="10" t="str">
        <f t="shared" si="34"/>
        <v/>
      </c>
    </row>
    <row r="2192" spans="9:9" x14ac:dyDescent="0.25">
      <c r="I2192" s="10" t="str">
        <f t="shared" si="34"/>
        <v/>
      </c>
    </row>
    <row r="2193" spans="9:9" x14ac:dyDescent="0.25">
      <c r="I2193" s="10" t="str">
        <f t="shared" si="34"/>
        <v/>
      </c>
    </row>
    <row r="2194" spans="9:9" x14ac:dyDescent="0.25">
      <c r="I2194" s="10" t="str">
        <f t="shared" si="34"/>
        <v/>
      </c>
    </row>
    <row r="2195" spans="9:9" x14ac:dyDescent="0.25">
      <c r="I2195" s="10" t="str">
        <f t="shared" si="34"/>
        <v/>
      </c>
    </row>
    <row r="2196" spans="9:9" x14ac:dyDescent="0.25">
      <c r="I2196" s="10" t="str">
        <f t="shared" si="34"/>
        <v/>
      </c>
    </row>
    <row r="2197" spans="9:9" x14ac:dyDescent="0.25">
      <c r="I2197" s="10" t="str">
        <f t="shared" si="34"/>
        <v/>
      </c>
    </row>
    <row r="2198" spans="9:9" x14ac:dyDescent="0.25">
      <c r="I2198" s="10" t="str">
        <f t="shared" si="34"/>
        <v/>
      </c>
    </row>
    <row r="2199" spans="9:9" x14ac:dyDescent="0.25">
      <c r="I2199" s="10" t="str">
        <f t="shared" si="34"/>
        <v/>
      </c>
    </row>
    <row r="2200" spans="9:9" x14ac:dyDescent="0.25">
      <c r="I2200" s="10" t="str">
        <f t="shared" si="34"/>
        <v/>
      </c>
    </row>
    <row r="2201" spans="9:9" x14ac:dyDescent="0.25">
      <c r="I2201" s="10" t="str">
        <f t="shared" si="34"/>
        <v/>
      </c>
    </row>
    <row r="2202" spans="9:9" x14ac:dyDescent="0.25">
      <c r="I2202" s="10" t="str">
        <f t="shared" si="34"/>
        <v/>
      </c>
    </row>
    <row r="2203" spans="9:9" x14ac:dyDescent="0.25">
      <c r="I2203" s="10" t="str">
        <f t="shared" si="34"/>
        <v/>
      </c>
    </row>
    <row r="2204" spans="9:9" x14ac:dyDescent="0.25">
      <c r="I2204" s="10" t="str">
        <f t="shared" si="34"/>
        <v/>
      </c>
    </row>
    <row r="2205" spans="9:9" x14ac:dyDescent="0.25">
      <c r="I2205" s="10" t="str">
        <f t="shared" si="34"/>
        <v/>
      </c>
    </row>
    <row r="2206" spans="9:9" x14ac:dyDescent="0.25">
      <c r="I2206" s="10" t="str">
        <f t="shared" si="34"/>
        <v/>
      </c>
    </row>
    <row r="2207" spans="9:9" x14ac:dyDescent="0.25">
      <c r="I2207" s="10" t="str">
        <f t="shared" si="34"/>
        <v/>
      </c>
    </row>
    <row r="2208" spans="9:9" x14ac:dyDescent="0.25">
      <c r="I2208" s="10" t="str">
        <f t="shared" si="34"/>
        <v/>
      </c>
    </row>
    <row r="2209" spans="9:9" x14ac:dyDescent="0.25">
      <c r="I2209" s="10" t="str">
        <f t="shared" si="34"/>
        <v/>
      </c>
    </row>
    <row r="2210" spans="9:9" x14ac:dyDescent="0.25">
      <c r="I2210" s="10" t="str">
        <f t="shared" si="34"/>
        <v/>
      </c>
    </row>
    <row r="2211" spans="9:9" x14ac:dyDescent="0.25">
      <c r="I2211" s="10" t="str">
        <f t="shared" si="34"/>
        <v/>
      </c>
    </row>
    <row r="2212" spans="9:9" x14ac:dyDescent="0.25">
      <c r="I2212" s="10" t="str">
        <f t="shared" si="34"/>
        <v/>
      </c>
    </row>
    <row r="2213" spans="9:9" x14ac:dyDescent="0.25">
      <c r="I2213" s="10" t="str">
        <f t="shared" si="34"/>
        <v/>
      </c>
    </row>
    <row r="2214" spans="9:9" x14ac:dyDescent="0.25">
      <c r="I2214" s="10" t="str">
        <f t="shared" si="34"/>
        <v/>
      </c>
    </row>
    <row r="2215" spans="9:9" x14ac:dyDescent="0.25">
      <c r="I2215" s="10" t="str">
        <f t="shared" si="34"/>
        <v/>
      </c>
    </row>
    <row r="2216" spans="9:9" x14ac:dyDescent="0.25">
      <c r="I2216" s="10" t="str">
        <f t="shared" si="34"/>
        <v/>
      </c>
    </row>
    <row r="2217" spans="9:9" x14ac:dyDescent="0.25">
      <c r="I2217" s="10" t="str">
        <f t="shared" si="34"/>
        <v/>
      </c>
    </row>
    <row r="2218" spans="9:9" x14ac:dyDescent="0.25">
      <c r="I2218" s="10" t="str">
        <f t="shared" si="34"/>
        <v/>
      </c>
    </row>
    <row r="2219" spans="9:9" x14ac:dyDescent="0.25">
      <c r="I2219" s="10" t="str">
        <f t="shared" si="34"/>
        <v/>
      </c>
    </row>
    <row r="2220" spans="9:9" x14ac:dyDescent="0.25">
      <c r="I2220" s="10" t="str">
        <f t="shared" si="34"/>
        <v/>
      </c>
    </row>
    <row r="2221" spans="9:9" x14ac:dyDescent="0.25">
      <c r="I2221" s="10" t="str">
        <f t="shared" si="34"/>
        <v/>
      </c>
    </row>
    <row r="2222" spans="9:9" x14ac:dyDescent="0.25">
      <c r="I2222" s="10" t="str">
        <f t="shared" si="34"/>
        <v/>
      </c>
    </row>
    <row r="2223" spans="9:9" x14ac:dyDescent="0.25">
      <c r="I2223" s="10" t="str">
        <f t="shared" si="34"/>
        <v/>
      </c>
    </row>
    <row r="2224" spans="9:9" x14ac:dyDescent="0.25">
      <c r="I2224" s="10" t="str">
        <f t="shared" si="34"/>
        <v/>
      </c>
    </row>
    <row r="2225" spans="9:9" x14ac:dyDescent="0.25">
      <c r="I2225" s="10" t="str">
        <f t="shared" si="34"/>
        <v/>
      </c>
    </row>
    <row r="2226" spans="9:9" x14ac:dyDescent="0.25">
      <c r="I2226" s="10" t="str">
        <f t="shared" si="34"/>
        <v/>
      </c>
    </row>
    <row r="2227" spans="9:9" x14ac:dyDescent="0.25">
      <c r="I2227" s="10" t="str">
        <f t="shared" si="34"/>
        <v/>
      </c>
    </row>
    <row r="2228" spans="9:9" x14ac:dyDescent="0.25">
      <c r="I2228" s="10" t="str">
        <f t="shared" si="34"/>
        <v/>
      </c>
    </row>
    <row r="2229" spans="9:9" x14ac:dyDescent="0.25">
      <c r="I2229" s="10" t="str">
        <f t="shared" si="34"/>
        <v/>
      </c>
    </row>
    <row r="2230" spans="9:9" x14ac:dyDescent="0.25">
      <c r="I2230" s="10" t="str">
        <f t="shared" si="34"/>
        <v/>
      </c>
    </row>
    <row r="2231" spans="9:9" x14ac:dyDescent="0.25">
      <c r="I2231" s="10" t="str">
        <f t="shared" si="34"/>
        <v/>
      </c>
    </row>
    <row r="2232" spans="9:9" x14ac:dyDescent="0.25">
      <c r="I2232" s="10" t="str">
        <f t="shared" si="34"/>
        <v/>
      </c>
    </row>
    <row r="2233" spans="9:9" x14ac:dyDescent="0.25">
      <c r="I2233" s="10" t="str">
        <f t="shared" si="34"/>
        <v/>
      </c>
    </row>
    <row r="2234" spans="9:9" x14ac:dyDescent="0.25">
      <c r="I2234" s="10" t="str">
        <f t="shared" si="34"/>
        <v/>
      </c>
    </row>
    <row r="2235" spans="9:9" x14ac:dyDescent="0.25">
      <c r="I2235" s="10" t="str">
        <f t="shared" si="34"/>
        <v/>
      </c>
    </row>
    <row r="2236" spans="9:9" x14ac:dyDescent="0.25">
      <c r="I2236" s="10" t="str">
        <f t="shared" si="34"/>
        <v/>
      </c>
    </row>
    <row r="2237" spans="9:9" x14ac:dyDescent="0.25">
      <c r="I2237" s="10" t="str">
        <f t="shared" si="34"/>
        <v/>
      </c>
    </row>
    <row r="2238" spans="9:9" x14ac:dyDescent="0.25">
      <c r="I2238" s="10" t="str">
        <f t="shared" si="34"/>
        <v/>
      </c>
    </row>
    <row r="2239" spans="9:9" x14ac:dyDescent="0.25">
      <c r="I2239" s="10" t="str">
        <f t="shared" si="34"/>
        <v/>
      </c>
    </row>
    <row r="2240" spans="9:9" x14ac:dyDescent="0.25">
      <c r="I2240" s="10" t="str">
        <f t="shared" si="34"/>
        <v/>
      </c>
    </row>
    <row r="2241" spans="9:9" x14ac:dyDescent="0.25">
      <c r="I2241" s="10" t="str">
        <f t="shared" si="34"/>
        <v/>
      </c>
    </row>
    <row r="2242" spans="9:9" x14ac:dyDescent="0.25">
      <c r="I2242" s="10" t="str">
        <f t="shared" si="34"/>
        <v/>
      </c>
    </row>
    <row r="2243" spans="9:9" x14ac:dyDescent="0.25">
      <c r="I2243" s="10" t="str">
        <f t="shared" ref="I2243:I2306" si="35">IFERROR(DATEVALUE(D2243),"")</f>
        <v/>
      </c>
    </row>
    <row r="2244" spans="9:9" x14ac:dyDescent="0.25">
      <c r="I2244" s="10" t="str">
        <f t="shared" si="35"/>
        <v/>
      </c>
    </row>
    <row r="2245" spans="9:9" x14ac:dyDescent="0.25">
      <c r="I2245" s="10" t="str">
        <f t="shared" si="35"/>
        <v/>
      </c>
    </row>
    <row r="2246" spans="9:9" x14ac:dyDescent="0.25">
      <c r="I2246" s="10" t="str">
        <f t="shared" si="35"/>
        <v/>
      </c>
    </row>
    <row r="2247" spans="9:9" x14ac:dyDescent="0.25">
      <c r="I2247" s="10" t="str">
        <f t="shared" si="35"/>
        <v/>
      </c>
    </row>
    <row r="2248" spans="9:9" x14ac:dyDescent="0.25">
      <c r="I2248" s="10" t="str">
        <f t="shared" si="35"/>
        <v/>
      </c>
    </row>
    <row r="2249" spans="9:9" x14ac:dyDescent="0.25">
      <c r="I2249" s="10" t="str">
        <f t="shared" si="35"/>
        <v/>
      </c>
    </row>
    <row r="2250" spans="9:9" x14ac:dyDescent="0.25">
      <c r="I2250" s="10" t="str">
        <f t="shared" si="35"/>
        <v/>
      </c>
    </row>
    <row r="2251" spans="9:9" x14ac:dyDescent="0.25">
      <c r="I2251" s="10" t="str">
        <f t="shared" si="35"/>
        <v/>
      </c>
    </row>
    <row r="2252" spans="9:9" x14ac:dyDescent="0.25">
      <c r="I2252" s="10" t="str">
        <f t="shared" si="35"/>
        <v/>
      </c>
    </row>
    <row r="2253" spans="9:9" x14ac:dyDescent="0.25">
      <c r="I2253" s="10" t="str">
        <f t="shared" si="35"/>
        <v/>
      </c>
    </row>
    <row r="2254" spans="9:9" x14ac:dyDescent="0.25">
      <c r="I2254" s="10" t="str">
        <f t="shared" si="35"/>
        <v/>
      </c>
    </row>
    <row r="2255" spans="9:9" x14ac:dyDescent="0.25">
      <c r="I2255" s="10" t="str">
        <f t="shared" si="35"/>
        <v/>
      </c>
    </row>
    <row r="2256" spans="9:9" x14ac:dyDescent="0.25">
      <c r="I2256" s="10" t="str">
        <f t="shared" si="35"/>
        <v/>
      </c>
    </row>
    <row r="2257" spans="9:9" x14ac:dyDescent="0.25">
      <c r="I2257" s="10" t="str">
        <f t="shared" si="35"/>
        <v/>
      </c>
    </row>
    <row r="2258" spans="9:9" x14ac:dyDescent="0.25">
      <c r="I2258" s="10" t="str">
        <f t="shared" si="35"/>
        <v/>
      </c>
    </row>
    <row r="2259" spans="9:9" x14ac:dyDescent="0.25">
      <c r="I2259" s="10" t="str">
        <f t="shared" si="35"/>
        <v/>
      </c>
    </row>
    <row r="2260" spans="9:9" x14ac:dyDescent="0.25">
      <c r="I2260" s="10" t="str">
        <f t="shared" si="35"/>
        <v/>
      </c>
    </row>
    <row r="2261" spans="9:9" x14ac:dyDescent="0.25">
      <c r="I2261" s="10" t="str">
        <f t="shared" si="35"/>
        <v/>
      </c>
    </row>
    <row r="2262" spans="9:9" x14ac:dyDescent="0.25">
      <c r="I2262" s="10" t="str">
        <f t="shared" si="35"/>
        <v/>
      </c>
    </row>
    <row r="2263" spans="9:9" x14ac:dyDescent="0.25">
      <c r="I2263" s="10" t="str">
        <f t="shared" si="35"/>
        <v/>
      </c>
    </row>
    <row r="2264" spans="9:9" x14ac:dyDescent="0.25">
      <c r="I2264" s="10" t="str">
        <f t="shared" si="35"/>
        <v/>
      </c>
    </row>
    <row r="2265" spans="9:9" x14ac:dyDescent="0.25">
      <c r="I2265" s="10" t="str">
        <f t="shared" si="35"/>
        <v/>
      </c>
    </row>
    <row r="2266" spans="9:9" x14ac:dyDescent="0.25">
      <c r="I2266" s="10" t="str">
        <f t="shared" si="35"/>
        <v/>
      </c>
    </row>
    <row r="2267" spans="9:9" x14ac:dyDescent="0.25">
      <c r="I2267" s="10" t="str">
        <f t="shared" si="35"/>
        <v/>
      </c>
    </row>
    <row r="2268" spans="9:9" x14ac:dyDescent="0.25">
      <c r="I2268" s="10" t="str">
        <f t="shared" si="35"/>
        <v/>
      </c>
    </row>
    <row r="2269" spans="9:9" x14ac:dyDescent="0.25">
      <c r="I2269" s="10" t="str">
        <f t="shared" si="35"/>
        <v/>
      </c>
    </row>
    <row r="2270" spans="9:9" x14ac:dyDescent="0.25">
      <c r="I2270" s="10" t="str">
        <f t="shared" si="35"/>
        <v/>
      </c>
    </row>
    <row r="2271" spans="9:9" x14ac:dyDescent="0.25">
      <c r="I2271" s="10" t="str">
        <f t="shared" si="35"/>
        <v/>
      </c>
    </row>
    <row r="2272" spans="9:9" x14ac:dyDescent="0.25">
      <c r="I2272" s="10" t="str">
        <f t="shared" si="35"/>
        <v/>
      </c>
    </row>
    <row r="2273" spans="9:9" x14ac:dyDescent="0.25">
      <c r="I2273" s="10" t="str">
        <f t="shared" si="35"/>
        <v/>
      </c>
    </row>
    <row r="2274" spans="9:9" x14ac:dyDescent="0.25">
      <c r="I2274" s="10" t="str">
        <f t="shared" si="35"/>
        <v/>
      </c>
    </row>
    <row r="2275" spans="9:9" x14ac:dyDescent="0.25">
      <c r="I2275" s="10" t="str">
        <f t="shared" si="35"/>
        <v/>
      </c>
    </row>
    <row r="2276" spans="9:9" x14ac:dyDescent="0.25">
      <c r="I2276" s="10" t="str">
        <f t="shared" si="35"/>
        <v/>
      </c>
    </row>
    <row r="2277" spans="9:9" x14ac:dyDescent="0.25">
      <c r="I2277" s="10" t="str">
        <f t="shared" si="35"/>
        <v/>
      </c>
    </row>
    <row r="2278" spans="9:9" x14ac:dyDescent="0.25">
      <c r="I2278" s="10" t="str">
        <f t="shared" si="35"/>
        <v/>
      </c>
    </row>
    <row r="2279" spans="9:9" x14ac:dyDescent="0.25">
      <c r="I2279" s="10" t="str">
        <f t="shared" si="35"/>
        <v/>
      </c>
    </row>
    <row r="2280" spans="9:9" x14ac:dyDescent="0.25">
      <c r="I2280" s="10" t="str">
        <f t="shared" si="35"/>
        <v/>
      </c>
    </row>
    <row r="2281" spans="9:9" x14ac:dyDescent="0.25">
      <c r="I2281" s="10" t="str">
        <f t="shared" si="35"/>
        <v/>
      </c>
    </row>
    <row r="2282" spans="9:9" x14ac:dyDescent="0.25">
      <c r="I2282" s="10" t="str">
        <f t="shared" si="35"/>
        <v/>
      </c>
    </row>
    <row r="2283" spans="9:9" x14ac:dyDescent="0.25">
      <c r="I2283" s="10" t="str">
        <f t="shared" si="35"/>
        <v/>
      </c>
    </row>
    <row r="2284" spans="9:9" x14ac:dyDescent="0.25">
      <c r="I2284" s="10" t="str">
        <f t="shared" si="35"/>
        <v/>
      </c>
    </row>
    <row r="2285" spans="9:9" x14ac:dyDescent="0.25">
      <c r="I2285" s="10" t="str">
        <f t="shared" si="35"/>
        <v/>
      </c>
    </row>
    <row r="2286" spans="9:9" x14ac:dyDescent="0.25">
      <c r="I2286" s="10" t="str">
        <f t="shared" si="35"/>
        <v/>
      </c>
    </row>
    <row r="2287" spans="9:9" x14ac:dyDescent="0.25">
      <c r="I2287" s="10" t="str">
        <f t="shared" si="35"/>
        <v/>
      </c>
    </row>
    <row r="2288" spans="9:9" x14ac:dyDescent="0.25">
      <c r="I2288" s="10" t="str">
        <f t="shared" si="35"/>
        <v/>
      </c>
    </row>
    <row r="2289" spans="9:9" x14ac:dyDescent="0.25">
      <c r="I2289" s="10" t="str">
        <f t="shared" si="35"/>
        <v/>
      </c>
    </row>
    <row r="2290" spans="9:9" x14ac:dyDescent="0.25">
      <c r="I2290" s="10" t="str">
        <f t="shared" si="35"/>
        <v/>
      </c>
    </row>
    <row r="2291" spans="9:9" x14ac:dyDescent="0.25">
      <c r="I2291" s="10" t="str">
        <f t="shared" si="35"/>
        <v/>
      </c>
    </row>
    <row r="2292" spans="9:9" x14ac:dyDescent="0.25">
      <c r="I2292" s="10" t="str">
        <f t="shared" si="35"/>
        <v/>
      </c>
    </row>
    <row r="2293" spans="9:9" x14ac:dyDescent="0.25">
      <c r="I2293" s="10" t="str">
        <f t="shared" si="35"/>
        <v/>
      </c>
    </row>
    <row r="2294" spans="9:9" x14ac:dyDescent="0.25">
      <c r="I2294" s="10" t="str">
        <f t="shared" si="35"/>
        <v/>
      </c>
    </row>
    <row r="2295" spans="9:9" x14ac:dyDescent="0.25">
      <c r="I2295" s="10" t="str">
        <f t="shared" si="35"/>
        <v/>
      </c>
    </row>
    <row r="2296" spans="9:9" x14ac:dyDescent="0.25">
      <c r="I2296" s="10" t="str">
        <f t="shared" si="35"/>
        <v/>
      </c>
    </row>
    <row r="2297" spans="9:9" x14ac:dyDescent="0.25">
      <c r="I2297" s="10" t="str">
        <f t="shared" si="35"/>
        <v/>
      </c>
    </row>
    <row r="2298" spans="9:9" x14ac:dyDescent="0.25">
      <c r="I2298" s="10" t="str">
        <f t="shared" si="35"/>
        <v/>
      </c>
    </row>
    <row r="2299" spans="9:9" x14ac:dyDescent="0.25">
      <c r="I2299" s="10" t="str">
        <f t="shared" si="35"/>
        <v/>
      </c>
    </row>
    <row r="2300" spans="9:9" x14ac:dyDescent="0.25">
      <c r="I2300" s="10" t="str">
        <f t="shared" si="35"/>
        <v/>
      </c>
    </row>
    <row r="2301" spans="9:9" x14ac:dyDescent="0.25">
      <c r="I2301" s="10" t="str">
        <f t="shared" si="35"/>
        <v/>
      </c>
    </row>
    <row r="2302" spans="9:9" x14ac:dyDescent="0.25">
      <c r="I2302" s="10" t="str">
        <f t="shared" si="35"/>
        <v/>
      </c>
    </row>
    <row r="2303" spans="9:9" x14ac:dyDescent="0.25">
      <c r="I2303" s="10" t="str">
        <f t="shared" si="35"/>
        <v/>
      </c>
    </row>
    <row r="2304" spans="9:9" x14ac:dyDescent="0.25">
      <c r="I2304" s="10" t="str">
        <f t="shared" si="35"/>
        <v/>
      </c>
    </row>
    <row r="2305" spans="9:9" x14ac:dyDescent="0.25">
      <c r="I2305" s="10" t="str">
        <f t="shared" si="35"/>
        <v/>
      </c>
    </row>
    <row r="2306" spans="9:9" x14ac:dyDescent="0.25">
      <c r="I2306" s="10" t="str">
        <f t="shared" si="35"/>
        <v/>
      </c>
    </row>
    <row r="2307" spans="9:9" x14ac:dyDescent="0.25">
      <c r="I2307" s="10" t="str">
        <f t="shared" ref="I2307:I2370" si="36">IFERROR(DATEVALUE(D2307),"")</f>
        <v/>
      </c>
    </row>
    <row r="2308" spans="9:9" x14ac:dyDescent="0.25">
      <c r="I2308" s="10" t="str">
        <f t="shared" si="36"/>
        <v/>
      </c>
    </row>
    <row r="2309" spans="9:9" x14ac:dyDescent="0.25">
      <c r="I2309" s="10" t="str">
        <f t="shared" si="36"/>
        <v/>
      </c>
    </row>
    <row r="2310" spans="9:9" x14ac:dyDescent="0.25">
      <c r="I2310" s="10" t="str">
        <f t="shared" si="36"/>
        <v/>
      </c>
    </row>
    <row r="2311" spans="9:9" x14ac:dyDescent="0.25">
      <c r="I2311" s="10" t="str">
        <f t="shared" si="36"/>
        <v/>
      </c>
    </row>
    <row r="2312" spans="9:9" x14ac:dyDescent="0.25">
      <c r="I2312" s="10" t="str">
        <f t="shared" si="36"/>
        <v/>
      </c>
    </row>
    <row r="2313" spans="9:9" x14ac:dyDescent="0.25">
      <c r="I2313" s="10" t="str">
        <f t="shared" si="36"/>
        <v/>
      </c>
    </row>
    <row r="2314" spans="9:9" x14ac:dyDescent="0.25">
      <c r="I2314" s="10" t="str">
        <f t="shared" si="36"/>
        <v/>
      </c>
    </row>
    <row r="2315" spans="9:9" x14ac:dyDescent="0.25">
      <c r="I2315" s="10" t="str">
        <f t="shared" si="36"/>
        <v/>
      </c>
    </row>
    <row r="2316" spans="9:9" x14ac:dyDescent="0.25">
      <c r="I2316" s="10" t="str">
        <f t="shared" si="36"/>
        <v/>
      </c>
    </row>
    <row r="2317" spans="9:9" x14ac:dyDescent="0.25">
      <c r="I2317" s="10" t="str">
        <f t="shared" si="36"/>
        <v/>
      </c>
    </row>
    <row r="2318" spans="9:9" x14ac:dyDescent="0.25">
      <c r="I2318" s="10" t="str">
        <f t="shared" si="36"/>
        <v/>
      </c>
    </row>
    <row r="2319" spans="9:9" x14ac:dyDescent="0.25">
      <c r="I2319" s="10" t="str">
        <f t="shared" si="36"/>
        <v/>
      </c>
    </row>
    <row r="2320" spans="9:9" x14ac:dyDescent="0.25">
      <c r="I2320" s="10" t="str">
        <f t="shared" si="36"/>
        <v/>
      </c>
    </row>
    <row r="2321" spans="9:9" x14ac:dyDescent="0.25">
      <c r="I2321" s="10" t="str">
        <f t="shared" si="36"/>
        <v/>
      </c>
    </row>
    <row r="2322" spans="9:9" x14ac:dyDescent="0.25">
      <c r="I2322" s="10" t="str">
        <f t="shared" si="36"/>
        <v/>
      </c>
    </row>
    <row r="2323" spans="9:9" x14ac:dyDescent="0.25">
      <c r="I2323" s="10" t="str">
        <f t="shared" si="36"/>
        <v/>
      </c>
    </row>
    <row r="2324" spans="9:9" x14ac:dyDescent="0.25">
      <c r="I2324" s="10" t="str">
        <f t="shared" si="36"/>
        <v/>
      </c>
    </row>
    <row r="2325" spans="9:9" x14ac:dyDescent="0.25">
      <c r="I2325" s="10" t="str">
        <f t="shared" si="36"/>
        <v/>
      </c>
    </row>
    <row r="2326" spans="9:9" x14ac:dyDescent="0.25">
      <c r="I2326" s="10" t="str">
        <f t="shared" si="36"/>
        <v/>
      </c>
    </row>
    <row r="2327" spans="9:9" x14ac:dyDescent="0.25">
      <c r="I2327" s="10" t="str">
        <f t="shared" si="36"/>
        <v/>
      </c>
    </row>
    <row r="2328" spans="9:9" x14ac:dyDescent="0.25">
      <c r="I2328" s="10" t="str">
        <f t="shared" si="36"/>
        <v/>
      </c>
    </row>
    <row r="2329" spans="9:9" x14ac:dyDescent="0.25">
      <c r="I2329" s="10" t="str">
        <f t="shared" si="36"/>
        <v/>
      </c>
    </row>
    <row r="2330" spans="9:9" x14ac:dyDescent="0.25">
      <c r="I2330" s="10" t="str">
        <f t="shared" si="36"/>
        <v/>
      </c>
    </row>
    <row r="2331" spans="9:9" x14ac:dyDescent="0.25">
      <c r="I2331" s="10" t="str">
        <f t="shared" si="36"/>
        <v/>
      </c>
    </row>
    <row r="2332" spans="9:9" x14ac:dyDescent="0.25">
      <c r="I2332" s="10" t="str">
        <f t="shared" si="36"/>
        <v/>
      </c>
    </row>
    <row r="2333" spans="9:9" x14ac:dyDescent="0.25">
      <c r="I2333" s="10" t="str">
        <f t="shared" si="36"/>
        <v/>
      </c>
    </row>
    <row r="2334" spans="9:9" x14ac:dyDescent="0.25">
      <c r="I2334" s="10" t="str">
        <f t="shared" si="36"/>
        <v/>
      </c>
    </row>
    <row r="2335" spans="9:9" x14ac:dyDescent="0.25">
      <c r="I2335" s="10" t="str">
        <f t="shared" si="36"/>
        <v/>
      </c>
    </row>
    <row r="2336" spans="9:9" x14ac:dyDescent="0.25">
      <c r="I2336" s="10" t="str">
        <f t="shared" si="36"/>
        <v/>
      </c>
    </row>
    <row r="2337" spans="9:9" x14ac:dyDescent="0.25">
      <c r="I2337" s="10" t="str">
        <f t="shared" si="36"/>
        <v/>
      </c>
    </row>
    <row r="2338" spans="9:9" x14ac:dyDescent="0.25">
      <c r="I2338" s="10" t="str">
        <f t="shared" si="36"/>
        <v/>
      </c>
    </row>
    <row r="2339" spans="9:9" x14ac:dyDescent="0.25">
      <c r="I2339" s="10" t="str">
        <f t="shared" si="36"/>
        <v/>
      </c>
    </row>
    <row r="2340" spans="9:9" x14ac:dyDescent="0.25">
      <c r="I2340" s="10" t="str">
        <f t="shared" si="36"/>
        <v/>
      </c>
    </row>
    <row r="2341" spans="9:9" x14ac:dyDescent="0.25">
      <c r="I2341" s="10" t="str">
        <f t="shared" si="36"/>
        <v/>
      </c>
    </row>
    <row r="2342" spans="9:9" x14ac:dyDescent="0.25">
      <c r="I2342" s="10" t="str">
        <f t="shared" si="36"/>
        <v/>
      </c>
    </row>
    <row r="2343" spans="9:9" x14ac:dyDescent="0.25">
      <c r="I2343" s="10" t="str">
        <f t="shared" si="36"/>
        <v/>
      </c>
    </row>
    <row r="2344" spans="9:9" x14ac:dyDescent="0.25">
      <c r="I2344" s="10" t="str">
        <f t="shared" si="36"/>
        <v/>
      </c>
    </row>
    <row r="2345" spans="9:9" x14ac:dyDescent="0.25">
      <c r="I2345" s="10" t="str">
        <f t="shared" si="36"/>
        <v/>
      </c>
    </row>
    <row r="2346" spans="9:9" x14ac:dyDescent="0.25">
      <c r="I2346" s="10" t="str">
        <f t="shared" si="36"/>
        <v/>
      </c>
    </row>
    <row r="2347" spans="9:9" x14ac:dyDescent="0.25">
      <c r="I2347" s="10" t="str">
        <f t="shared" si="36"/>
        <v/>
      </c>
    </row>
    <row r="2348" spans="9:9" x14ac:dyDescent="0.25">
      <c r="I2348" s="10" t="str">
        <f t="shared" si="36"/>
        <v/>
      </c>
    </row>
    <row r="2349" spans="9:9" x14ac:dyDescent="0.25">
      <c r="I2349" s="10" t="str">
        <f t="shared" si="36"/>
        <v/>
      </c>
    </row>
    <row r="2350" spans="9:9" x14ac:dyDescent="0.25">
      <c r="I2350" s="10" t="str">
        <f t="shared" si="36"/>
        <v/>
      </c>
    </row>
    <row r="2351" spans="9:9" x14ac:dyDescent="0.25">
      <c r="I2351" s="10" t="str">
        <f t="shared" si="36"/>
        <v/>
      </c>
    </row>
    <row r="2352" spans="9:9" x14ac:dyDescent="0.25">
      <c r="I2352" s="10" t="str">
        <f t="shared" si="36"/>
        <v/>
      </c>
    </row>
    <row r="2353" spans="9:9" x14ac:dyDescent="0.25">
      <c r="I2353" s="10" t="str">
        <f t="shared" si="36"/>
        <v/>
      </c>
    </row>
    <row r="2354" spans="9:9" x14ac:dyDescent="0.25">
      <c r="I2354" s="10" t="str">
        <f t="shared" si="36"/>
        <v/>
      </c>
    </row>
    <row r="2355" spans="9:9" x14ac:dyDescent="0.25">
      <c r="I2355" s="10" t="str">
        <f t="shared" si="36"/>
        <v/>
      </c>
    </row>
    <row r="2356" spans="9:9" x14ac:dyDescent="0.25">
      <c r="I2356" s="10" t="str">
        <f t="shared" si="36"/>
        <v/>
      </c>
    </row>
    <row r="2357" spans="9:9" x14ac:dyDescent="0.25">
      <c r="I2357" s="10" t="str">
        <f t="shared" si="36"/>
        <v/>
      </c>
    </row>
    <row r="2358" spans="9:9" x14ac:dyDescent="0.25">
      <c r="I2358" s="10" t="str">
        <f t="shared" si="36"/>
        <v/>
      </c>
    </row>
    <row r="2359" spans="9:9" x14ac:dyDescent="0.25">
      <c r="I2359" s="10" t="str">
        <f t="shared" si="36"/>
        <v/>
      </c>
    </row>
    <row r="2360" spans="9:9" x14ac:dyDescent="0.25">
      <c r="I2360" s="10" t="str">
        <f t="shared" si="36"/>
        <v/>
      </c>
    </row>
    <row r="2361" spans="9:9" x14ac:dyDescent="0.25">
      <c r="I2361" s="10" t="str">
        <f t="shared" si="36"/>
        <v/>
      </c>
    </row>
    <row r="2362" spans="9:9" x14ac:dyDescent="0.25">
      <c r="I2362" s="10" t="str">
        <f t="shared" si="36"/>
        <v/>
      </c>
    </row>
    <row r="2363" spans="9:9" x14ac:dyDescent="0.25">
      <c r="I2363" s="10" t="str">
        <f t="shared" si="36"/>
        <v/>
      </c>
    </row>
    <row r="2364" spans="9:9" x14ac:dyDescent="0.25">
      <c r="I2364" s="10" t="str">
        <f t="shared" si="36"/>
        <v/>
      </c>
    </row>
    <row r="2365" spans="9:9" x14ac:dyDescent="0.25">
      <c r="I2365" s="10" t="str">
        <f t="shared" si="36"/>
        <v/>
      </c>
    </row>
    <row r="2366" spans="9:9" x14ac:dyDescent="0.25">
      <c r="I2366" s="10" t="str">
        <f t="shared" si="36"/>
        <v/>
      </c>
    </row>
    <row r="2367" spans="9:9" x14ac:dyDescent="0.25">
      <c r="I2367" s="10" t="str">
        <f t="shared" si="36"/>
        <v/>
      </c>
    </row>
    <row r="2368" spans="9:9" x14ac:dyDescent="0.25">
      <c r="I2368" s="10" t="str">
        <f t="shared" si="36"/>
        <v/>
      </c>
    </row>
    <row r="2369" spans="9:9" x14ac:dyDescent="0.25">
      <c r="I2369" s="10" t="str">
        <f t="shared" si="36"/>
        <v/>
      </c>
    </row>
    <row r="2370" spans="9:9" x14ac:dyDescent="0.25">
      <c r="I2370" s="10" t="str">
        <f t="shared" si="36"/>
        <v/>
      </c>
    </row>
    <row r="2371" spans="9:9" x14ac:dyDescent="0.25">
      <c r="I2371" s="10" t="str">
        <f t="shared" ref="I2371:I2434" si="37">IFERROR(DATEVALUE(D2371),"")</f>
        <v/>
      </c>
    </row>
    <row r="2372" spans="9:9" x14ac:dyDescent="0.25">
      <c r="I2372" s="10" t="str">
        <f t="shared" si="37"/>
        <v/>
      </c>
    </row>
    <row r="2373" spans="9:9" x14ac:dyDescent="0.25">
      <c r="I2373" s="10" t="str">
        <f t="shared" si="37"/>
        <v/>
      </c>
    </row>
    <row r="2374" spans="9:9" x14ac:dyDescent="0.25">
      <c r="I2374" s="10" t="str">
        <f t="shared" si="37"/>
        <v/>
      </c>
    </row>
    <row r="2375" spans="9:9" x14ac:dyDescent="0.25">
      <c r="I2375" s="10" t="str">
        <f t="shared" si="37"/>
        <v/>
      </c>
    </row>
    <row r="2376" spans="9:9" x14ac:dyDescent="0.25">
      <c r="I2376" s="10" t="str">
        <f t="shared" si="37"/>
        <v/>
      </c>
    </row>
    <row r="2377" spans="9:9" x14ac:dyDescent="0.25">
      <c r="I2377" s="10" t="str">
        <f t="shared" si="37"/>
        <v/>
      </c>
    </row>
    <row r="2378" spans="9:9" x14ac:dyDescent="0.25">
      <c r="I2378" s="10" t="str">
        <f t="shared" si="37"/>
        <v/>
      </c>
    </row>
    <row r="2379" spans="9:9" x14ac:dyDescent="0.25">
      <c r="I2379" s="10" t="str">
        <f t="shared" si="37"/>
        <v/>
      </c>
    </row>
    <row r="2380" spans="9:9" x14ac:dyDescent="0.25">
      <c r="I2380" s="10" t="str">
        <f t="shared" si="37"/>
        <v/>
      </c>
    </row>
    <row r="2381" spans="9:9" x14ac:dyDescent="0.25">
      <c r="I2381" s="10" t="str">
        <f t="shared" si="37"/>
        <v/>
      </c>
    </row>
    <row r="2382" spans="9:9" x14ac:dyDescent="0.25">
      <c r="I2382" s="10" t="str">
        <f t="shared" si="37"/>
        <v/>
      </c>
    </row>
    <row r="2383" spans="9:9" x14ac:dyDescent="0.25">
      <c r="I2383" s="10" t="str">
        <f t="shared" si="37"/>
        <v/>
      </c>
    </row>
    <row r="2384" spans="9:9" x14ac:dyDescent="0.25">
      <c r="I2384" s="10" t="str">
        <f t="shared" si="37"/>
        <v/>
      </c>
    </row>
    <row r="2385" spans="9:9" x14ac:dyDescent="0.25">
      <c r="I2385" s="10" t="str">
        <f t="shared" si="37"/>
        <v/>
      </c>
    </row>
    <row r="2386" spans="9:9" x14ac:dyDescent="0.25">
      <c r="I2386" s="10" t="str">
        <f t="shared" si="37"/>
        <v/>
      </c>
    </row>
    <row r="2387" spans="9:9" x14ac:dyDescent="0.25">
      <c r="I2387" s="10" t="str">
        <f t="shared" si="37"/>
        <v/>
      </c>
    </row>
    <row r="2388" spans="9:9" x14ac:dyDescent="0.25">
      <c r="I2388" s="10" t="str">
        <f t="shared" si="37"/>
        <v/>
      </c>
    </row>
    <row r="2389" spans="9:9" x14ac:dyDescent="0.25">
      <c r="I2389" s="10" t="str">
        <f t="shared" si="37"/>
        <v/>
      </c>
    </row>
    <row r="2390" spans="9:9" x14ac:dyDescent="0.25">
      <c r="I2390" s="10" t="str">
        <f t="shared" si="37"/>
        <v/>
      </c>
    </row>
    <row r="2391" spans="9:9" x14ac:dyDescent="0.25">
      <c r="I2391" s="10" t="str">
        <f t="shared" si="37"/>
        <v/>
      </c>
    </row>
    <row r="2392" spans="9:9" x14ac:dyDescent="0.25">
      <c r="I2392" s="10" t="str">
        <f t="shared" si="37"/>
        <v/>
      </c>
    </row>
    <row r="2393" spans="9:9" x14ac:dyDescent="0.25">
      <c r="I2393" s="10" t="str">
        <f t="shared" si="37"/>
        <v/>
      </c>
    </row>
    <row r="2394" spans="9:9" x14ac:dyDescent="0.25">
      <c r="I2394" s="10" t="str">
        <f t="shared" si="37"/>
        <v/>
      </c>
    </row>
    <row r="2395" spans="9:9" x14ac:dyDescent="0.25">
      <c r="I2395" s="10" t="str">
        <f t="shared" si="37"/>
        <v/>
      </c>
    </row>
    <row r="2396" spans="9:9" x14ac:dyDescent="0.25">
      <c r="I2396" s="10" t="str">
        <f t="shared" si="37"/>
        <v/>
      </c>
    </row>
    <row r="2397" spans="9:9" x14ac:dyDescent="0.25">
      <c r="I2397" s="10" t="str">
        <f t="shared" si="37"/>
        <v/>
      </c>
    </row>
    <row r="2398" spans="9:9" x14ac:dyDescent="0.25">
      <c r="I2398" s="10" t="str">
        <f t="shared" si="37"/>
        <v/>
      </c>
    </row>
    <row r="2399" spans="9:9" x14ac:dyDescent="0.25">
      <c r="I2399" s="10" t="str">
        <f t="shared" si="37"/>
        <v/>
      </c>
    </row>
    <row r="2400" spans="9:9" x14ac:dyDescent="0.25">
      <c r="I2400" s="10" t="str">
        <f t="shared" si="37"/>
        <v/>
      </c>
    </row>
    <row r="2401" spans="9:9" x14ac:dyDescent="0.25">
      <c r="I2401" s="10" t="str">
        <f t="shared" si="37"/>
        <v/>
      </c>
    </row>
    <row r="2402" spans="9:9" x14ac:dyDescent="0.25">
      <c r="I2402" s="10" t="str">
        <f t="shared" si="37"/>
        <v/>
      </c>
    </row>
    <row r="2403" spans="9:9" x14ac:dyDescent="0.25">
      <c r="I2403" s="10" t="str">
        <f t="shared" si="37"/>
        <v/>
      </c>
    </row>
    <row r="2404" spans="9:9" x14ac:dyDescent="0.25">
      <c r="I2404" s="10" t="str">
        <f t="shared" si="37"/>
        <v/>
      </c>
    </row>
    <row r="2405" spans="9:9" x14ac:dyDescent="0.25">
      <c r="I2405" s="10" t="str">
        <f t="shared" si="37"/>
        <v/>
      </c>
    </row>
    <row r="2406" spans="9:9" x14ac:dyDescent="0.25">
      <c r="I2406" s="10" t="str">
        <f t="shared" si="37"/>
        <v/>
      </c>
    </row>
    <row r="2407" spans="9:9" x14ac:dyDescent="0.25">
      <c r="I2407" s="10" t="str">
        <f t="shared" si="37"/>
        <v/>
      </c>
    </row>
    <row r="2408" spans="9:9" x14ac:dyDescent="0.25">
      <c r="I2408" s="10" t="str">
        <f t="shared" si="37"/>
        <v/>
      </c>
    </row>
    <row r="2409" spans="9:9" x14ac:dyDescent="0.25">
      <c r="I2409" s="10" t="str">
        <f t="shared" si="37"/>
        <v/>
      </c>
    </row>
    <row r="2410" spans="9:9" x14ac:dyDescent="0.25">
      <c r="I2410" s="10" t="str">
        <f t="shared" si="37"/>
        <v/>
      </c>
    </row>
    <row r="2411" spans="9:9" x14ac:dyDescent="0.25">
      <c r="I2411" s="10" t="str">
        <f t="shared" si="37"/>
        <v/>
      </c>
    </row>
    <row r="2412" spans="9:9" x14ac:dyDescent="0.25">
      <c r="I2412" s="10" t="str">
        <f t="shared" si="37"/>
        <v/>
      </c>
    </row>
    <row r="2413" spans="9:9" x14ac:dyDescent="0.25">
      <c r="I2413" s="10" t="str">
        <f t="shared" si="37"/>
        <v/>
      </c>
    </row>
    <row r="2414" spans="9:9" x14ac:dyDescent="0.25">
      <c r="I2414" s="10" t="str">
        <f t="shared" si="37"/>
        <v/>
      </c>
    </row>
    <row r="2415" spans="9:9" x14ac:dyDescent="0.25">
      <c r="I2415" s="10" t="str">
        <f t="shared" si="37"/>
        <v/>
      </c>
    </row>
    <row r="2416" spans="9:9" x14ac:dyDescent="0.25">
      <c r="I2416" s="10" t="str">
        <f t="shared" si="37"/>
        <v/>
      </c>
    </row>
    <row r="2417" spans="9:9" x14ac:dyDescent="0.25">
      <c r="I2417" s="10" t="str">
        <f t="shared" si="37"/>
        <v/>
      </c>
    </row>
    <row r="2418" spans="9:9" x14ac:dyDescent="0.25">
      <c r="I2418" s="10" t="str">
        <f t="shared" si="37"/>
        <v/>
      </c>
    </row>
    <row r="2419" spans="9:9" x14ac:dyDescent="0.25">
      <c r="I2419" s="10" t="str">
        <f t="shared" si="37"/>
        <v/>
      </c>
    </row>
    <row r="2420" spans="9:9" x14ac:dyDescent="0.25">
      <c r="I2420" s="10" t="str">
        <f t="shared" si="37"/>
        <v/>
      </c>
    </row>
    <row r="2421" spans="9:9" x14ac:dyDescent="0.25">
      <c r="I2421" s="10" t="str">
        <f t="shared" si="37"/>
        <v/>
      </c>
    </row>
    <row r="2422" spans="9:9" x14ac:dyDescent="0.25">
      <c r="I2422" s="10" t="str">
        <f t="shared" si="37"/>
        <v/>
      </c>
    </row>
    <row r="2423" spans="9:9" x14ac:dyDescent="0.25">
      <c r="I2423" s="10" t="str">
        <f t="shared" si="37"/>
        <v/>
      </c>
    </row>
    <row r="2424" spans="9:9" x14ac:dyDescent="0.25">
      <c r="I2424" s="10" t="str">
        <f t="shared" si="37"/>
        <v/>
      </c>
    </row>
    <row r="2425" spans="9:9" x14ac:dyDescent="0.25">
      <c r="I2425" s="10" t="str">
        <f t="shared" si="37"/>
        <v/>
      </c>
    </row>
    <row r="2426" spans="9:9" x14ac:dyDescent="0.25">
      <c r="I2426" s="10" t="str">
        <f t="shared" si="37"/>
        <v/>
      </c>
    </row>
    <row r="2427" spans="9:9" x14ac:dyDescent="0.25">
      <c r="I2427" s="10" t="str">
        <f t="shared" si="37"/>
        <v/>
      </c>
    </row>
    <row r="2428" spans="9:9" x14ac:dyDescent="0.25">
      <c r="I2428" s="10" t="str">
        <f t="shared" si="37"/>
        <v/>
      </c>
    </row>
    <row r="2429" spans="9:9" x14ac:dyDescent="0.25">
      <c r="I2429" s="10" t="str">
        <f t="shared" si="37"/>
        <v/>
      </c>
    </row>
    <row r="2430" spans="9:9" x14ac:dyDescent="0.25">
      <c r="I2430" s="10" t="str">
        <f t="shared" si="37"/>
        <v/>
      </c>
    </row>
    <row r="2431" spans="9:9" x14ac:dyDescent="0.25">
      <c r="I2431" s="10" t="str">
        <f t="shared" si="37"/>
        <v/>
      </c>
    </row>
    <row r="2432" spans="9:9" x14ac:dyDescent="0.25">
      <c r="I2432" s="10" t="str">
        <f t="shared" si="37"/>
        <v/>
      </c>
    </row>
    <row r="2433" spans="9:9" x14ac:dyDescent="0.25">
      <c r="I2433" s="10" t="str">
        <f t="shared" si="37"/>
        <v/>
      </c>
    </row>
    <row r="2434" spans="9:9" x14ac:dyDescent="0.25">
      <c r="I2434" s="10" t="str">
        <f t="shared" si="37"/>
        <v/>
      </c>
    </row>
    <row r="2435" spans="9:9" x14ac:dyDescent="0.25">
      <c r="I2435" s="10" t="str">
        <f t="shared" ref="I2435:I2498" si="38">IFERROR(DATEVALUE(D2435),"")</f>
        <v/>
      </c>
    </row>
    <row r="2436" spans="9:9" x14ac:dyDescent="0.25">
      <c r="I2436" s="10" t="str">
        <f t="shared" si="38"/>
        <v/>
      </c>
    </row>
    <row r="2437" spans="9:9" x14ac:dyDescent="0.25">
      <c r="I2437" s="10" t="str">
        <f t="shared" si="38"/>
        <v/>
      </c>
    </row>
    <row r="2438" spans="9:9" x14ac:dyDescent="0.25">
      <c r="I2438" s="10" t="str">
        <f t="shared" si="38"/>
        <v/>
      </c>
    </row>
    <row r="2439" spans="9:9" x14ac:dyDescent="0.25">
      <c r="I2439" s="10" t="str">
        <f t="shared" si="38"/>
        <v/>
      </c>
    </row>
    <row r="2440" spans="9:9" x14ac:dyDescent="0.25">
      <c r="I2440" s="10" t="str">
        <f t="shared" si="38"/>
        <v/>
      </c>
    </row>
    <row r="2441" spans="9:9" x14ac:dyDescent="0.25">
      <c r="I2441" s="10" t="str">
        <f t="shared" si="38"/>
        <v/>
      </c>
    </row>
    <row r="2442" spans="9:9" x14ac:dyDescent="0.25">
      <c r="I2442" s="10" t="str">
        <f t="shared" si="38"/>
        <v/>
      </c>
    </row>
    <row r="2443" spans="9:9" x14ac:dyDescent="0.25">
      <c r="I2443" s="10" t="str">
        <f t="shared" si="38"/>
        <v/>
      </c>
    </row>
    <row r="2444" spans="9:9" x14ac:dyDescent="0.25">
      <c r="I2444" s="10" t="str">
        <f t="shared" si="38"/>
        <v/>
      </c>
    </row>
    <row r="2445" spans="9:9" x14ac:dyDescent="0.25">
      <c r="I2445" s="10" t="str">
        <f t="shared" si="38"/>
        <v/>
      </c>
    </row>
    <row r="2446" spans="9:9" x14ac:dyDescent="0.25">
      <c r="I2446" s="10" t="str">
        <f t="shared" si="38"/>
        <v/>
      </c>
    </row>
    <row r="2447" spans="9:9" x14ac:dyDescent="0.25">
      <c r="I2447" s="10" t="str">
        <f t="shared" si="38"/>
        <v/>
      </c>
    </row>
    <row r="2448" spans="9:9" x14ac:dyDescent="0.25">
      <c r="I2448" s="10" t="str">
        <f t="shared" si="38"/>
        <v/>
      </c>
    </row>
    <row r="2449" spans="9:9" x14ac:dyDescent="0.25">
      <c r="I2449" s="10" t="str">
        <f t="shared" si="38"/>
        <v/>
      </c>
    </row>
    <row r="2450" spans="9:9" x14ac:dyDescent="0.25">
      <c r="I2450" s="10" t="str">
        <f t="shared" si="38"/>
        <v/>
      </c>
    </row>
    <row r="2451" spans="9:9" x14ac:dyDescent="0.25">
      <c r="I2451" s="10" t="str">
        <f t="shared" si="38"/>
        <v/>
      </c>
    </row>
    <row r="2452" spans="9:9" x14ac:dyDescent="0.25">
      <c r="I2452" s="10" t="str">
        <f t="shared" si="38"/>
        <v/>
      </c>
    </row>
    <row r="2453" spans="9:9" x14ac:dyDescent="0.25">
      <c r="I2453" s="10" t="str">
        <f t="shared" si="38"/>
        <v/>
      </c>
    </row>
    <row r="2454" spans="9:9" x14ac:dyDescent="0.25">
      <c r="I2454" s="10" t="str">
        <f t="shared" si="38"/>
        <v/>
      </c>
    </row>
    <row r="2455" spans="9:9" x14ac:dyDescent="0.25">
      <c r="I2455" s="10" t="str">
        <f t="shared" si="38"/>
        <v/>
      </c>
    </row>
    <row r="2456" spans="9:9" x14ac:dyDescent="0.25">
      <c r="I2456" s="10" t="str">
        <f t="shared" si="38"/>
        <v/>
      </c>
    </row>
    <row r="2457" spans="9:9" x14ac:dyDescent="0.25">
      <c r="I2457" s="10" t="str">
        <f t="shared" si="38"/>
        <v/>
      </c>
    </row>
    <row r="2458" spans="9:9" x14ac:dyDescent="0.25">
      <c r="I2458" s="10" t="str">
        <f t="shared" si="38"/>
        <v/>
      </c>
    </row>
    <row r="2459" spans="9:9" x14ac:dyDescent="0.25">
      <c r="I2459" s="10" t="str">
        <f t="shared" si="38"/>
        <v/>
      </c>
    </row>
    <row r="2460" spans="9:9" x14ac:dyDescent="0.25">
      <c r="I2460" s="10" t="str">
        <f t="shared" si="38"/>
        <v/>
      </c>
    </row>
    <row r="2461" spans="9:9" x14ac:dyDescent="0.25">
      <c r="I2461" s="10" t="str">
        <f t="shared" si="38"/>
        <v/>
      </c>
    </row>
    <row r="2462" spans="9:9" x14ac:dyDescent="0.25">
      <c r="I2462" s="10" t="str">
        <f t="shared" si="38"/>
        <v/>
      </c>
    </row>
    <row r="2463" spans="9:9" x14ac:dyDescent="0.25">
      <c r="I2463" s="10" t="str">
        <f t="shared" si="38"/>
        <v/>
      </c>
    </row>
    <row r="2464" spans="9:9" x14ac:dyDescent="0.25">
      <c r="I2464" s="10" t="str">
        <f t="shared" si="38"/>
        <v/>
      </c>
    </row>
    <row r="2465" spans="9:9" x14ac:dyDescent="0.25">
      <c r="I2465" s="10" t="str">
        <f t="shared" si="38"/>
        <v/>
      </c>
    </row>
    <row r="2466" spans="9:9" x14ac:dyDescent="0.25">
      <c r="I2466" s="10" t="str">
        <f t="shared" si="38"/>
        <v/>
      </c>
    </row>
    <row r="2467" spans="9:9" x14ac:dyDescent="0.25">
      <c r="I2467" s="10" t="str">
        <f t="shared" si="38"/>
        <v/>
      </c>
    </row>
    <row r="2468" spans="9:9" x14ac:dyDescent="0.25">
      <c r="I2468" s="10" t="str">
        <f t="shared" si="38"/>
        <v/>
      </c>
    </row>
    <row r="2469" spans="9:9" x14ac:dyDescent="0.25">
      <c r="I2469" s="10" t="str">
        <f t="shared" si="38"/>
        <v/>
      </c>
    </row>
    <row r="2470" spans="9:9" x14ac:dyDescent="0.25">
      <c r="I2470" s="10" t="str">
        <f t="shared" si="38"/>
        <v/>
      </c>
    </row>
    <row r="2471" spans="9:9" x14ac:dyDescent="0.25">
      <c r="I2471" s="10" t="str">
        <f t="shared" si="38"/>
        <v/>
      </c>
    </row>
    <row r="2472" spans="9:9" x14ac:dyDescent="0.25">
      <c r="I2472" s="10" t="str">
        <f t="shared" si="38"/>
        <v/>
      </c>
    </row>
    <row r="2473" spans="9:9" x14ac:dyDescent="0.25">
      <c r="I2473" s="10" t="str">
        <f t="shared" si="38"/>
        <v/>
      </c>
    </row>
    <row r="2474" spans="9:9" x14ac:dyDescent="0.25">
      <c r="I2474" s="10" t="str">
        <f t="shared" si="38"/>
        <v/>
      </c>
    </row>
    <row r="2475" spans="9:9" x14ac:dyDescent="0.25">
      <c r="I2475" s="10" t="str">
        <f t="shared" si="38"/>
        <v/>
      </c>
    </row>
    <row r="2476" spans="9:9" x14ac:dyDescent="0.25">
      <c r="I2476" s="10" t="str">
        <f t="shared" si="38"/>
        <v/>
      </c>
    </row>
    <row r="2477" spans="9:9" x14ac:dyDescent="0.25">
      <c r="I2477" s="10" t="str">
        <f t="shared" si="38"/>
        <v/>
      </c>
    </row>
    <row r="2478" spans="9:9" x14ac:dyDescent="0.25">
      <c r="I2478" s="10" t="str">
        <f t="shared" si="38"/>
        <v/>
      </c>
    </row>
    <row r="2479" spans="9:9" x14ac:dyDescent="0.25">
      <c r="I2479" s="10" t="str">
        <f t="shared" si="38"/>
        <v/>
      </c>
    </row>
    <row r="2480" spans="9:9" x14ac:dyDescent="0.25">
      <c r="I2480" s="10" t="str">
        <f t="shared" si="38"/>
        <v/>
      </c>
    </row>
    <row r="2481" spans="9:9" x14ac:dyDescent="0.25">
      <c r="I2481" s="10" t="str">
        <f t="shared" si="38"/>
        <v/>
      </c>
    </row>
    <row r="2482" spans="9:9" x14ac:dyDescent="0.25">
      <c r="I2482" s="10" t="str">
        <f t="shared" si="38"/>
        <v/>
      </c>
    </row>
    <row r="2483" spans="9:9" x14ac:dyDescent="0.25">
      <c r="I2483" s="10" t="str">
        <f t="shared" si="38"/>
        <v/>
      </c>
    </row>
    <row r="2484" spans="9:9" x14ac:dyDescent="0.25">
      <c r="I2484" s="10" t="str">
        <f t="shared" si="38"/>
        <v/>
      </c>
    </row>
    <row r="2485" spans="9:9" x14ac:dyDescent="0.25">
      <c r="I2485" s="10" t="str">
        <f t="shared" si="38"/>
        <v/>
      </c>
    </row>
    <row r="2486" spans="9:9" x14ac:dyDescent="0.25">
      <c r="I2486" s="10" t="str">
        <f t="shared" si="38"/>
        <v/>
      </c>
    </row>
    <row r="2487" spans="9:9" x14ac:dyDescent="0.25">
      <c r="I2487" s="10" t="str">
        <f t="shared" si="38"/>
        <v/>
      </c>
    </row>
    <row r="2488" spans="9:9" x14ac:dyDescent="0.25">
      <c r="I2488" s="10" t="str">
        <f t="shared" si="38"/>
        <v/>
      </c>
    </row>
    <row r="2489" spans="9:9" x14ac:dyDescent="0.25">
      <c r="I2489" s="10" t="str">
        <f t="shared" si="38"/>
        <v/>
      </c>
    </row>
    <row r="2490" spans="9:9" x14ac:dyDescent="0.25">
      <c r="I2490" s="10" t="str">
        <f t="shared" si="38"/>
        <v/>
      </c>
    </row>
    <row r="2491" spans="9:9" x14ac:dyDescent="0.25">
      <c r="I2491" s="10" t="str">
        <f t="shared" si="38"/>
        <v/>
      </c>
    </row>
    <row r="2492" spans="9:9" x14ac:dyDescent="0.25">
      <c r="I2492" s="10" t="str">
        <f t="shared" si="38"/>
        <v/>
      </c>
    </row>
    <row r="2493" spans="9:9" x14ac:dyDescent="0.25">
      <c r="I2493" s="10" t="str">
        <f t="shared" si="38"/>
        <v/>
      </c>
    </row>
    <row r="2494" spans="9:9" x14ac:dyDescent="0.25">
      <c r="I2494" s="10" t="str">
        <f t="shared" si="38"/>
        <v/>
      </c>
    </row>
    <row r="2495" spans="9:9" x14ac:dyDescent="0.25">
      <c r="I2495" s="10" t="str">
        <f t="shared" si="38"/>
        <v/>
      </c>
    </row>
    <row r="2496" spans="9:9" x14ac:dyDescent="0.25">
      <c r="I2496" s="10" t="str">
        <f t="shared" si="38"/>
        <v/>
      </c>
    </row>
    <row r="2497" spans="9:9" x14ac:dyDescent="0.25">
      <c r="I2497" s="10" t="str">
        <f t="shared" si="38"/>
        <v/>
      </c>
    </row>
    <row r="2498" spans="9:9" x14ac:dyDescent="0.25">
      <c r="I2498" s="10" t="str">
        <f t="shared" si="38"/>
        <v/>
      </c>
    </row>
    <row r="2499" spans="9:9" x14ac:dyDescent="0.25">
      <c r="I2499" s="10" t="str">
        <f t="shared" ref="I2499:I2562" si="39">IFERROR(DATEVALUE(D2499),"")</f>
        <v/>
      </c>
    </row>
    <row r="2500" spans="9:9" x14ac:dyDescent="0.25">
      <c r="I2500" s="10" t="str">
        <f t="shared" si="39"/>
        <v/>
      </c>
    </row>
    <row r="2501" spans="9:9" x14ac:dyDescent="0.25">
      <c r="I2501" s="10" t="str">
        <f t="shared" si="39"/>
        <v/>
      </c>
    </row>
    <row r="2502" spans="9:9" x14ac:dyDescent="0.25">
      <c r="I2502" s="10" t="str">
        <f t="shared" si="39"/>
        <v/>
      </c>
    </row>
    <row r="2503" spans="9:9" x14ac:dyDescent="0.25">
      <c r="I2503" s="10" t="str">
        <f t="shared" si="39"/>
        <v/>
      </c>
    </row>
    <row r="2504" spans="9:9" x14ac:dyDescent="0.25">
      <c r="I2504" s="10" t="str">
        <f t="shared" si="39"/>
        <v/>
      </c>
    </row>
    <row r="2505" spans="9:9" x14ac:dyDescent="0.25">
      <c r="I2505" s="10" t="str">
        <f t="shared" si="39"/>
        <v/>
      </c>
    </row>
    <row r="2506" spans="9:9" x14ac:dyDescent="0.25">
      <c r="I2506" s="10" t="str">
        <f t="shared" si="39"/>
        <v/>
      </c>
    </row>
    <row r="2507" spans="9:9" x14ac:dyDescent="0.25">
      <c r="I2507" s="10" t="str">
        <f t="shared" si="39"/>
        <v/>
      </c>
    </row>
    <row r="2508" spans="9:9" x14ac:dyDescent="0.25">
      <c r="I2508" s="10" t="str">
        <f t="shared" si="39"/>
        <v/>
      </c>
    </row>
    <row r="2509" spans="9:9" x14ac:dyDescent="0.25">
      <c r="I2509" s="10" t="str">
        <f t="shared" si="39"/>
        <v/>
      </c>
    </row>
    <row r="2510" spans="9:9" x14ac:dyDescent="0.25">
      <c r="I2510" s="10" t="str">
        <f t="shared" si="39"/>
        <v/>
      </c>
    </row>
    <row r="2511" spans="9:9" x14ac:dyDescent="0.25">
      <c r="I2511" s="10" t="str">
        <f t="shared" si="39"/>
        <v/>
      </c>
    </row>
    <row r="2512" spans="9:9" x14ac:dyDescent="0.25">
      <c r="I2512" s="10" t="str">
        <f t="shared" si="39"/>
        <v/>
      </c>
    </row>
    <row r="2513" spans="9:9" x14ac:dyDescent="0.25">
      <c r="I2513" s="10" t="str">
        <f t="shared" si="39"/>
        <v/>
      </c>
    </row>
    <row r="2514" spans="9:9" x14ac:dyDescent="0.25">
      <c r="I2514" s="10" t="str">
        <f t="shared" si="39"/>
        <v/>
      </c>
    </row>
    <row r="2515" spans="9:9" x14ac:dyDescent="0.25">
      <c r="I2515" s="10" t="str">
        <f t="shared" si="39"/>
        <v/>
      </c>
    </row>
    <row r="2516" spans="9:9" x14ac:dyDescent="0.25">
      <c r="I2516" s="10" t="str">
        <f t="shared" si="39"/>
        <v/>
      </c>
    </row>
    <row r="2517" spans="9:9" x14ac:dyDescent="0.25">
      <c r="I2517" s="10" t="str">
        <f t="shared" si="39"/>
        <v/>
      </c>
    </row>
    <row r="2518" spans="9:9" x14ac:dyDescent="0.25">
      <c r="I2518" s="10" t="str">
        <f t="shared" si="39"/>
        <v/>
      </c>
    </row>
    <row r="2519" spans="9:9" x14ac:dyDescent="0.25">
      <c r="I2519" s="10" t="str">
        <f t="shared" si="39"/>
        <v/>
      </c>
    </row>
    <row r="2520" spans="9:9" x14ac:dyDescent="0.25">
      <c r="I2520" s="10" t="str">
        <f t="shared" si="39"/>
        <v/>
      </c>
    </row>
    <row r="2521" spans="9:9" x14ac:dyDescent="0.25">
      <c r="I2521" s="10" t="str">
        <f t="shared" si="39"/>
        <v/>
      </c>
    </row>
    <row r="2522" spans="9:9" x14ac:dyDescent="0.25">
      <c r="I2522" s="10" t="str">
        <f t="shared" si="39"/>
        <v/>
      </c>
    </row>
    <row r="2523" spans="9:9" x14ac:dyDescent="0.25">
      <c r="I2523" s="10" t="str">
        <f t="shared" si="39"/>
        <v/>
      </c>
    </row>
    <row r="2524" spans="9:9" x14ac:dyDescent="0.25">
      <c r="I2524" s="10" t="str">
        <f t="shared" si="39"/>
        <v/>
      </c>
    </row>
    <row r="2525" spans="9:9" x14ac:dyDescent="0.25">
      <c r="I2525" s="10" t="str">
        <f t="shared" si="39"/>
        <v/>
      </c>
    </row>
    <row r="2526" spans="9:9" x14ac:dyDescent="0.25">
      <c r="I2526" s="10" t="str">
        <f t="shared" si="39"/>
        <v/>
      </c>
    </row>
    <row r="2527" spans="9:9" x14ac:dyDescent="0.25">
      <c r="I2527" s="10" t="str">
        <f t="shared" si="39"/>
        <v/>
      </c>
    </row>
    <row r="2528" spans="9:9" x14ac:dyDescent="0.25">
      <c r="I2528" s="10" t="str">
        <f t="shared" si="39"/>
        <v/>
      </c>
    </row>
    <row r="2529" spans="9:9" x14ac:dyDescent="0.25">
      <c r="I2529" s="10" t="str">
        <f t="shared" si="39"/>
        <v/>
      </c>
    </row>
    <row r="2530" spans="9:9" x14ac:dyDescent="0.25">
      <c r="I2530" s="10" t="str">
        <f t="shared" si="39"/>
        <v/>
      </c>
    </row>
    <row r="2531" spans="9:9" x14ac:dyDescent="0.25">
      <c r="I2531" s="10" t="str">
        <f t="shared" si="39"/>
        <v/>
      </c>
    </row>
    <row r="2532" spans="9:9" x14ac:dyDescent="0.25">
      <c r="I2532" s="10" t="str">
        <f t="shared" si="39"/>
        <v/>
      </c>
    </row>
    <row r="2533" spans="9:9" x14ac:dyDescent="0.25">
      <c r="I2533" s="10" t="str">
        <f t="shared" si="39"/>
        <v/>
      </c>
    </row>
    <row r="2534" spans="9:9" x14ac:dyDescent="0.25">
      <c r="I2534" s="10" t="str">
        <f t="shared" si="39"/>
        <v/>
      </c>
    </row>
    <row r="2535" spans="9:9" x14ac:dyDescent="0.25">
      <c r="I2535" s="10" t="str">
        <f t="shared" si="39"/>
        <v/>
      </c>
    </row>
    <row r="2536" spans="9:9" x14ac:dyDescent="0.25">
      <c r="I2536" s="10" t="str">
        <f t="shared" si="39"/>
        <v/>
      </c>
    </row>
    <row r="2537" spans="9:9" x14ac:dyDescent="0.25">
      <c r="I2537" s="10" t="str">
        <f t="shared" si="39"/>
        <v/>
      </c>
    </row>
    <row r="2538" spans="9:9" x14ac:dyDescent="0.25">
      <c r="I2538" s="10" t="str">
        <f t="shared" si="39"/>
        <v/>
      </c>
    </row>
    <row r="2539" spans="9:9" x14ac:dyDescent="0.25">
      <c r="I2539" s="10" t="str">
        <f t="shared" si="39"/>
        <v/>
      </c>
    </row>
    <row r="2540" spans="9:9" x14ac:dyDescent="0.25">
      <c r="I2540" s="10" t="str">
        <f t="shared" si="39"/>
        <v/>
      </c>
    </row>
    <row r="2541" spans="9:9" x14ac:dyDescent="0.25">
      <c r="I2541" s="10" t="str">
        <f t="shared" si="39"/>
        <v/>
      </c>
    </row>
    <row r="2542" spans="9:9" x14ac:dyDescent="0.25">
      <c r="I2542" s="10" t="str">
        <f t="shared" si="39"/>
        <v/>
      </c>
    </row>
    <row r="2543" spans="9:9" x14ac:dyDescent="0.25">
      <c r="I2543" s="10" t="str">
        <f t="shared" si="39"/>
        <v/>
      </c>
    </row>
    <row r="2544" spans="9:9" x14ac:dyDescent="0.25">
      <c r="I2544" s="10" t="str">
        <f t="shared" si="39"/>
        <v/>
      </c>
    </row>
    <row r="2545" spans="9:9" x14ac:dyDescent="0.25">
      <c r="I2545" s="10" t="str">
        <f t="shared" si="39"/>
        <v/>
      </c>
    </row>
    <row r="2546" spans="9:9" x14ac:dyDescent="0.25">
      <c r="I2546" s="10" t="str">
        <f t="shared" si="39"/>
        <v/>
      </c>
    </row>
    <row r="2547" spans="9:9" x14ac:dyDescent="0.25">
      <c r="I2547" s="10" t="str">
        <f t="shared" si="39"/>
        <v/>
      </c>
    </row>
    <row r="2548" spans="9:9" x14ac:dyDescent="0.25">
      <c r="I2548" s="10" t="str">
        <f t="shared" si="39"/>
        <v/>
      </c>
    </row>
    <row r="2549" spans="9:9" x14ac:dyDescent="0.25">
      <c r="I2549" s="10" t="str">
        <f t="shared" si="39"/>
        <v/>
      </c>
    </row>
    <row r="2550" spans="9:9" x14ac:dyDescent="0.25">
      <c r="I2550" s="10" t="str">
        <f t="shared" si="39"/>
        <v/>
      </c>
    </row>
    <row r="2551" spans="9:9" x14ac:dyDescent="0.25">
      <c r="I2551" s="10" t="str">
        <f t="shared" si="39"/>
        <v/>
      </c>
    </row>
    <row r="2552" spans="9:9" x14ac:dyDescent="0.25">
      <c r="I2552" s="10" t="str">
        <f t="shared" si="39"/>
        <v/>
      </c>
    </row>
    <row r="2553" spans="9:9" x14ac:dyDescent="0.25">
      <c r="I2553" s="10" t="str">
        <f t="shared" si="39"/>
        <v/>
      </c>
    </row>
    <row r="2554" spans="9:9" x14ac:dyDescent="0.25">
      <c r="I2554" s="10" t="str">
        <f t="shared" si="39"/>
        <v/>
      </c>
    </row>
    <row r="2555" spans="9:9" x14ac:dyDescent="0.25">
      <c r="I2555" s="10" t="str">
        <f t="shared" si="39"/>
        <v/>
      </c>
    </row>
    <row r="2556" spans="9:9" x14ac:dyDescent="0.25">
      <c r="I2556" s="10" t="str">
        <f t="shared" si="39"/>
        <v/>
      </c>
    </row>
    <row r="2557" spans="9:9" x14ac:dyDescent="0.25">
      <c r="I2557" s="10" t="str">
        <f t="shared" si="39"/>
        <v/>
      </c>
    </row>
    <row r="2558" spans="9:9" x14ac:dyDescent="0.25">
      <c r="I2558" s="10" t="str">
        <f t="shared" si="39"/>
        <v/>
      </c>
    </row>
    <row r="2559" spans="9:9" x14ac:dyDescent="0.25">
      <c r="I2559" s="10" t="str">
        <f t="shared" si="39"/>
        <v/>
      </c>
    </row>
    <row r="2560" spans="9:9" x14ac:dyDescent="0.25">
      <c r="I2560" s="10" t="str">
        <f t="shared" si="39"/>
        <v/>
      </c>
    </row>
    <row r="2561" spans="9:9" x14ac:dyDescent="0.25">
      <c r="I2561" s="10" t="str">
        <f t="shared" si="39"/>
        <v/>
      </c>
    </row>
    <row r="2562" spans="9:9" x14ac:dyDescent="0.25">
      <c r="I2562" s="10" t="str">
        <f t="shared" si="39"/>
        <v/>
      </c>
    </row>
    <row r="2563" spans="9:9" x14ac:dyDescent="0.25">
      <c r="I2563" s="10" t="str">
        <f t="shared" ref="I2563:I2626" si="40">IFERROR(DATEVALUE(D2563),"")</f>
        <v/>
      </c>
    </row>
    <row r="2564" spans="9:9" x14ac:dyDescent="0.25">
      <c r="I2564" s="10" t="str">
        <f t="shared" si="40"/>
        <v/>
      </c>
    </row>
    <row r="2565" spans="9:9" x14ac:dyDescent="0.25">
      <c r="I2565" s="10" t="str">
        <f t="shared" si="40"/>
        <v/>
      </c>
    </row>
    <row r="2566" spans="9:9" x14ac:dyDescent="0.25">
      <c r="I2566" s="10" t="str">
        <f t="shared" si="40"/>
        <v/>
      </c>
    </row>
    <row r="2567" spans="9:9" x14ac:dyDescent="0.25">
      <c r="I2567" s="10" t="str">
        <f t="shared" si="40"/>
        <v/>
      </c>
    </row>
    <row r="2568" spans="9:9" x14ac:dyDescent="0.25">
      <c r="I2568" s="10" t="str">
        <f t="shared" si="40"/>
        <v/>
      </c>
    </row>
    <row r="2569" spans="9:9" x14ac:dyDescent="0.25">
      <c r="I2569" s="10" t="str">
        <f t="shared" si="40"/>
        <v/>
      </c>
    </row>
    <row r="2570" spans="9:9" x14ac:dyDescent="0.25">
      <c r="I2570" s="10" t="str">
        <f t="shared" si="40"/>
        <v/>
      </c>
    </row>
    <row r="2571" spans="9:9" x14ac:dyDescent="0.25">
      <c r="I2571" s="10" t="str">
        <f t="shared" si="40"/>
        <v/>
      </c>
    </row>
    <row r="2572" spans="9:9" x14ac:dyDescent="0.25">
      <c r="I2572" s="10" t="str">
        <f t="shared" si="40"/>
        <v/>
      </c>
    </row>
    <row r="2573" spans="9:9" x14ac:dyDescent="0.25">
      <c r="I2573" s="10" t="str">
        <f t="shared" si="40"/>
        <v/>
      </c>
    </row>
    <row r="2574" spans="9:9" x14ac:dyDescent="0.25">
      <c r="I2574" s="10" t="str">
        <f t="shared" si="40"/>
        <v/>
      </c>
    </row>
    <row r="2575" spans="9:9" x14ac:dyDescent="0.25">
      <c r="I2575" s="10" t="str">
        <f t="shared" si="40"/>
        <v/>
      </c>
    </row>
    <row r="2576" spans="9:9" x14ac:dyDescent="0.25">
      <c r="I2576" s="10" t="str">
        <f t="shared" si="40"/>
        <v/>
      </c>
    </row>
    <row r="2577" spans="9:9" x14ac:dyDescent="0.25">
      <c r="I2577" s="10" t="str">
        <f t="shared" si="40"/>
        <v/>
      </c>
    </row>
    <row r="2578" spans="9:9" x14ac:dyDescent="0.25">
      <c r="I2578" s="10" t="str">
        <f t="shared" si="40"/>
        <v/>
      </c>
    </row>
    <row r="2579" spans="9:9" x14ac:dyDescent="0.25">
      <c r="I2579" s="10" t="str">
        <f t="shared" si="40"/>
        <v/>
      </c>
    </row>
    <row r="2580" spans="9:9" x14ac:dyDescent="0.25">
      <c r="I2580" s="10" t="str">
        <f t="shared" si="40"/>
        <v/>
      </c>
    </row>
    <row r="2581" spans="9:9" x14ac:dyDescent="0.25">
      <c r="I2581" s="10" t="str">
        <f t="shared" si="40"/>
        <v/>
      </c>
    </row>
    <row r="2582" spans="9:9" x14ac:dyDescent="0.25">
      <c r="I2582" s="10" t="str">
        <f t="shared" si="40"/>
        <v/>
      </c>
    </row>
    <row r="2583" spans="9:9" x14ac:dyDescent="0.25">
      <c r="I2583" s="10" t="str">
        <f t="shared" si="40"/>
        <v/>
      </c>
    </row>
    <row r="2584" spans="9:9" x14ac:dyDescent="0.25">
      <c r="I2584" s="10" t="str">
        <f t="shared" si="40"/>
        <v/>
      </c>
    </row>
    <row r="2585" spans="9:9" x14ac:dyDescent="0.25">
      <c r="I2585" s="10" t="str">
        <f t="shared" si="40"/>
        <v/>
      </c>
    </row>
    <row r="2586" spans="9:9" x14ac:dyDescent="0.25">
      <c r="I2586" s="10" t="str">
        <f t="shared" si="40"/>
        <v/>
      </c>
    </row>
    <row r="2587" spans="9:9" x14ac:dyDescent="0.25">
      <c r="I2587" s="10" t="str">
        <f t="shared" si="40"/>
        <v/>
      </c>
    </row>
    <row r="2588" spans="9:9" x14ac:dyDescent="0.25">
      <c r="I2588" s="10" t="str">
        <f t="shared" si="40"/>
        <v/>
      </c>
    </row>
    <row r="2589" spans="9:9" x14ac:dyDescent="0.25">
      <c r="I2589" s="10" t="str">
        <f t="shared" si="40"/>
        <v/>
      </c>
    </row>
    <row r="2590" spans="9:9" x14ac:dyDescent="0.25">
      <c r="I2590" s="10" t="str">
        <f t="shared" si="40"/>
        <v/>
      </c>
    </row>
    <row r="2591" spans="9:9" x14ac:dyDescent="0.25">
      <c r="I2591" s="10" t="str">
        <f t="shared" si="40"/>
        <v/>
      </c>
    </row>
    <row r="2592" spans="9:9" x14ac:dyDescent="0.25">
      <c r="I2592" s="10" t="str">
        <f t="shared" si="40"/>
        <v/>
      </c>
    </row>
    <row r="2593" spans="9:9" x14ac:dyDescent="0.25">
      <c r="I2593" s="10" t="str">
        <f t="shared" si="40"/>
        <v/>
      </c>
    </row>
    <row r="2594" spans="9:9" x14ac:dyDescent="0.25">
      <c r="I2594" s="10" t="str">
        <f t="shared" si="40"/>
        <v/>
      </c>
    </row>
    <row r="2595" spans="9:9" x14ac:dyDescent="0.25">
      <c r="I2595" s="10" t="str">
        <f t="shared" si="40"/>
        <v/>
      </c>
    </row>
    <row r="2596" spans="9:9" x14ac:dyDescent="0.25">
      <c r="I2596" s="10" t="str">
        <f t="shared" si="40"/>
        <v/>
      </c>
    </row>
    <row r="2597" spans="9:9" x14ac:dyDescent="0.25">
      <c r="I2597" s="10" t="str">
        <f t="shared" si="40"/>
        <v/>
      </c>
    </row>
    <row r="2598" spans="9:9" x14ac:dyDescent="0.25">
      <c r="I2598" s="10" t="str">
        <f t="shared" si="40"/>
        <v/>
      </c>
    </row>
    <row r="2599" spans="9:9" x14ac:dyDescent="0.25">
      <c r="I2599" s="10" t="str">
        <f t="shared" si="40"/>
        <v/>
      </c>
    </row>
    <row r="2600" spans="9:9" x14ac:dyDescent="0.25">
      <c r="I2600" s="10" t="str">
        <f t="shared" si="40"/>
        <v/>
      </c>
    </row>
    <row r="2601" spans="9:9" x14ac:dyDescent="0.25">
      <c r="I2601" s="10" t="str">
        <f t="shared" si="40"/>
        <v/>
      </c>
    </row>
    <row r="2602" spans="9:9" x14ac:dyDescent="0.25">
      <c r="I2602" s="10" t="str">
        <f t="shared" si="40"/>
        <v/>
      </c>
    </row>
    <row r="2603" spans="9:9" x14ac:dyDescent="0.25">
      <c r="I2603" s="10" t="str">
        <f t="shared" si="40"/>
        <v/>
      </c>
    </row>
    <row r="2604" spans="9:9" x14ac:dyDescent="0.25">
      <c r="I2604" s="10" t="str">
        <f t="shared" si="40"/>
        <v/>
      </c>
    </row>
    <row r="2605" spans="9:9" x14ac:dyDescent="0.25">
      <c r="I2605" s="10" t="str">
        <f t="shared" si="40"/>
        <v/>
      </c>
    </row>
    <row r="2606" spans="9:9" x14ac:dyDescent="0.25">
      <c r="I2606" s="10" t="str">
        <f t="shared" si="40"/>
        <v/>
      </c>
    </row>
    <row r="2607" spans="9:9" x14ac:dyDescent="0.25">
      <c r="I2607" s="10" t="str">
        <f t="shared" si="40"/>
        <v/>
      </c>
    </row>
    <row r="2608" spans="9:9" x14ac:dyDescent="0.25">
      <c r="I2608" s="10" t="str">
        <f t="shared" si="40"/>
        <v/>
      </c>
    </row>
    <row r="2609" spans="9:9" x14ac:dyDescent="0.25">
      <c r="I2609" s="10" t="str">
        <f t="shared" si="40"/>
        <v/>
      </c>
    </row>
    <row r="2610" spans="9:9" x14ac:dyDescent="0.25">
      <c r="I2610" s="10" t="str">
        <f t="shared" si="40"/>
        <v/>
      </c>
    </row>
    <row r="2611" spans="9:9" x14ac:dyDescent="0.25">
      <c r="I2611" s="10" t="str">
        <f t="shared" si="40"/>
        <v/>
      </c>
    </row>
    <row r="2612" spans="9:9" x14ac:dyDescent="0.25">
      <c r="I2612" s="10" t="str">
        <f t="shared" si="40"/>
        <v/>
      </c>
    </row>
    <row r="2613" spans="9:9" x14ac:dyDescent="0.25">
      <c r="I2613" s="10" t="str">
        <f t="shared" si="40"/>
        <v/>
      </c>
    </row>
    <row r="2614" spans="9:9" x14ac:dyDescent="0.25">
      <c r="I2614" s="10" t="str">
        <f t="shared" si="40"/>
        <v/>
      </c>
    </row>
    <row r="2615" spans="9:9" x14ac:dyDescent="0.25">
      <c r="I2615" s="10" t="str">
        <f t="shared" si="40"/>
        <v/>
      </c>
    </row>
    <row r="2616" spans="9:9" x14ac:dyDescent="0.25">
      <c r="I2616" s="10" t="str">
        <f t="shared" si="40"/>
        <v/>
      </c>
    </row>
    <row r="2617" spans="9:9" x14ac:dyDescent="0.25">
      <c r="I2617" s="10" t="str">
        <f t="shared" si="40"/>
        <v/>
      </c>
    </row>
    <row r="2618" spans="9:9" x14ac:dyDescent="0.25">
      <c r="I2618" s="10" t="str">
        <f t="shared" si="40"/>
        <v/>
      </c>
    </row>
    <row r="2619" spans="9:9" x14ac:dyDescent="0.25">
      <c r="I2619" s="10" t="str">
        <f t="shared" si="40"/>
        <v/>
      </c>
    </row>
    <row r="2620" spans="9:9" x14ac:dyDescent="0.25">
      <c r="I2620" s="10" t="str">
        <f t="shared" si="40"/>
        <v/>
      </c>
    </row>
    <row r="2621" spans="9:9" x14ac:dyDescent="0.25">
      <c r="I2621" s="10" t="str">
        <f t="shared" si="40"/>
        <v/>
      </c>
    </row>
    <row r="2622" spans="9:9" x14ac:dyDescent="0.25">
      <c r="I2622" s="10" t="str">
        <f t="shared" si="40"/>
        <v/>
      </c>
    </row>
    <row r="2623" spans="9:9" x14ac:dyDescent="0.25">
      <c r="I2623" s="10" t="str">
        <f t="shared" si="40"/>
        <v/>
      </c>
    </row>
    <row r="2624" spans="9:9" x14ac:dyDescent="0.25">
      <c r="I2624" s="10" t="str">
        <f t="shared" si="40"/>
        <v/>
      </c>
    </row>
    <row r="2625" spans="9:9" x14ac:dyDescent="0.25">
      <c r="I2625" s="10" t="str">
        <f t="shared" si="40"/>
        <v/>
      </c>
    </row>
    <row r="2626" spans="9:9" x14ac:dyDescent="0.25">
      <c r="I2626" s="10" t="str">
        <f t="shared" si="40"/>
        <v/>
      </c>
    </row>
    <row r="2627" spans="9:9" x14ac:dyDescent="0.25">
      <c r="I2627" s="10" t="str">
        <f t="shared" ref="I2627:I2690" si="41">IFERROR(DATEVALUE(D2627),"")</f>
        <v/>
      </c>
    </row>
    <row r="2628" spans="9:9" x14ac:dyDescent="0.25">
      <c r="I2628" s="10" t="str">
        <f t="shared" si="41"/>
        <v/>
      </c>
    </row>
    <row r="2629" spans="9:9" x14ac:dyDescent="0.25">
      <c r="I2629" s="10" t="str">
        <f t="shared" si="41"/>
        <v/>
      </c>
    </row>
    <row r="2630" spans="9:9" x14ac:dyDescent="0.25">
      <c r="I2630" s="10" t="str">
        <f t="shared" si="41"/>
        <v/>
      </c>
    </row>
    <row r="2631" spans="9:9" x14ac:dyDescent="0.25">
      <c r="I2631" s="10" t="str">
        <f t="shared" si="41"/>
        <v/>
      </c>
    </row>
    <row r="2632" spans="9:9" x14ac:dyDescent="0.25">
      <c r="I2632" s="10" t="str">
        <f t="shared" si="41"/>
        <v/>
      </c>
    </row>
    <row r="2633" spans="9:9" x14ac:dyDescent="0.25">
      <c r="I2633" s="10" t="str">
        <f t="shared" si="41"/>
        <v/>
      </c>
    </row>
    <row r="2634" spans="9:9" x14ac:dyDescent="0.25">
      <c r="I2634" s="10" t="str">
        <f t="shared" si="41"/>
        <v/>
      </c>
    </row>
    <row r="2635" spans="9:9" x14ac:dyDescent="0.25">
      <c r="I2635" s="10" t="str">
        <f t="shared" si="41"/>
        <v/>
      </c>
    </row>
    <row r="2636" spans="9:9" x14ac:dyDescent="0.25">
      <c r="I2636" s="10" t="str">
        <f t="shared" si="41"/>
        <v/>
      </c>
    </row>
    <row r="2637" spans="9:9" x14ac:dyDescent="0.25">
      <c r="I2637" s="10" t="str">
        <f t="shared" si="41"/>
        <v/>
      </c>
    </row>
    <row r="2638" spans="9:9" x14ac:dyDescent="0.25">
      <c r="I2638" s="10" t="str">
        <f t="shared" si="41"/>
        <v/>
      </c>
    </row>
    <row r="2639" spans="9:9" x14ac:dyDescent="0.25">
      <c r="I2639" s="10" t="str">
        <f t="shared" si="41"/>
        <v/>
      </c>
    </row>
    <row r="2640" spans="9:9" x14ac:dyDescent="0.25">
      <c r="I2640" s="10" t="str">
        <f t="shared" si="41"/>
        <v/>
      </c>
    </row>
    <row r="2641" spans="9:9" x14ac:dyDescent="0.25">
      <c r="I2641" s="10" t="str">
        <f t="shared" si="41"/>
        <v/>
      </c>
    </row>
    <row r="2642" spans="9:9" x14ac:dyDescent="0.25">
      <c r="I2642" s="10" t="str">
        <f t="shared" si="41"/>
        <v/>
      </c>
    </row>
    <row r="2643" spans="9:9" x14ac:dyDescent="0.25">
      <c r="I2643" s="10" t="str">
        <f t="shared" si="41"/>
        <v/>
      </c>
    </row>
    <row r="2644" spans="9:9" x14ac:dyDescent="0.25">
      <c r="I2644" s="10" t="str">
        <f t="shared" si="41"/>
        <v/>
      </c>
    </row>
    <row r="2645" spans="9:9" x14ac:dyDescent="0.25">
      <c r="I2645" s="10" t="str">
        <f t="shared" si="41"/>
        <v/>
      </c>
    </row>
    <row r="2646" spans="9:9" x14ac:dyDescent="0.25">
      <c r="I2646" s="10" t="str">
        <f t="shared" si="41"/>
        <v/>
      </c>
    </row>
    <row r="2647" spans="9:9" x14ac:dyDescent="0.25">
      <c r="I2647" s="10" t="str">
        <f t="shared" si="41"/>
        <v/>
      </c>
    </row>
    <row r="2648" spans="9:9" x14ac:dyDescent="0.25">
      <c r="I2648" s="10" t="str">
        <f t="shared" si="41"/>
        <v/>
      </c>
    </row>
    <row r="2649" spans="9:9" x14ac:dyDescent="0.25">
      <c r="I2649" s="10" t="str">
        <f t="shared" si="41"/>
        <v/>
      </c>
    </row>
    <row r="2650" spans="9:9" x14ac:dyDescent="0.25">
      <c r="I2650" s="10" t="str">
        <f t="shared" si="41"/>
        <v/>
      </c>
    </row>
    <row r="2651" spans="9:9" x14ac:dyDescent="0.25">
      <c r="I2651" s="10" t="str">
        <f t="shared" si="41"/>
        <v/>
      </c>
    </row>
    <row r="2652" spans="9:9" x14ac:dyDescent="0.25">
      <c r="I2652" s="10" t="str">
        <f t="shared" si="41"/>
        <v/>
      </c>
    </row>
    <row r="2653" spans="9:9" x14ac:dyDescent="0.25">
      <c r="I2653" s="10" t="str">
        <f t="shared" si="41"/>
        <v/>
      </c>
    </row>
    <row r="2654" spans="9:9" x14ac:dyDescent="0.25">
      <c r="I2654" s="10" t="str">
        <f t="shared" si="41"/>
        <v/>
      </c>
    </row>
    <row r="2655" spans="9:9" x14ac:dyDescent="0.25">
      <c r="I2655" s="10" t="str">
        <f t="shared" si="41"/>
        <v/>
      </c>
    </row>
    <row r="2656" spans="9:9" x14ac:dyDescent="0.25">
      <c r="I2656" s="10" t="str">
        <f t="shared" si="41"/>
        <v/>
      </c>
    </row>
    <row r="2657" spans="9:9" x14ac:dyDescent="0.25">
      <c r="I2657" s="10" t="str">
        <f t="shared" si="41"/>
        <v/>
      </c>
    </row>
    <row r="2658" spans="9:9" x14ac:dyDescent="0.25">
      <c r="I2658" s="10" t="str">
        <f t="shared" si="41"/>
        <v/>
      </c>
    </row>
    <row r="2659" spans="9:9" x14ac:dyDescent="0.25">
      <c r="I2659" s="10" t="str">
        <f t="shared" si="41"/>
        <v/>
      </c>
    </row>
    <row r="2660" spans="9:9" x14ac:dyDescent="0.25">
      <c r="I2660" s="10" t="str">
        <f t="shared" si="41"/>
        <v/>
      </c>
    </row>
    <row r="2661" spans="9:9" x14ac:dyDescent="0.25">
      <c r="I2661" s="10" t="str">
        <f t="shared" si="41"/>
        <v/>
      </c>
    </row>
    <row r="2662" spans="9:9" x14ac:dyDescent="0.25">
      <c r="I2662" s="10" t="str">
        <f t="shared" si="41"/>
        <v/>
      </c>
    </row>
    <row r="2663" spans="9:9" x14ac:dyDescent="0.25">
      <c r="I2663" s="10" t="str">
        <f t="shared" si="41"/>
        <v/>
      </c>
    </row>
    <row r="2664" spans="9:9" x14ac:dyDescent="0.25">
      <c r="I2664" s="10" t="str">
        <f t="shared" si="41"/>
        <v/>
      </c>
    </row>
    <row r="2665" spans="9:9" x14ac:dyDescent="0.25">
      <c r="I2665" s="10" t="str">
        <f t="shared" si="41"/>
        <v/>
      </c>
    </row>
    <row r="2666" spans="9:9" x14ac:dyDescent="0.25">
      <c r="I2666" s="10" t="str">
        <f t="shared" si="41"/>
        <v/>
      </c>
    </row>
    <row r="2667" spans="9:9" x14ac:dyDescent="0.25">
      <c r="I2667" s="10" t="str">
        <f t="shared" si="41"/>
        <v/>
      </c>
    </row>
    <row r="2668" spans="9:9" x14ac:dyDescent="0.25">
      <c r="I2668" s="10" t="str">
        <f t="shared" si="41"/>
        <v/>
      </c>
    </row>
    <row r="2669" spans="9:9" x14ac:dyDescent="0.25">
      <c r="I2669" s="10" t="str">
        <f t="shared" si="41"/>
        <v/>
      </c>
    </row>
    <row r="2670" spans="9:9" x14ac:dyDescent="0.25">
      <c r="I2670" s="10" t="str">
        <f t="shared" si="41"/>
        <v/>
      </c>
    </row>
    <row r="2671" spans="9:9" x14ac:dyDescent="0.25">
      <c r="I2671" s="10" t="str">
        <f t="shared" si="41"/>
        <v/>
      </c>
    </row>
    <row r="2672" spans="9:9" x14ac:dyDescent="0.25">
      <c r="I2672" s="10" t="str">
        <f t="shared" si="41"/>
        <v/>
      </c>
    </row>
    <row r="2673" spans="9:9" x14ac:dyDescent="0.25">
      <c r="I2673" s="10" t="str">
        <f t="shared" si="41"/>
        <v/>
      </c>
    </row>
    <row r="2674" spans="9:9" x14ac:dyDescent="0.25">
      <c r="I2674" s="10" t="str">
        <f t="shared" si="41"/>
        <v/>
      </c>
    </row>
    <row r="2675" spans="9:9" x14ac:dyDescent="0.25">
      <c r="I2675" s="10" t="str">
        <f t="shared" si="41"/>
        <v/>
      </c>
    </row>
    <row r="2676" spans="9:9" x14ac:dyDescent="0.25">
      <c r="I2676" s="10" t="str">
        <f t="shared" si="41"/>
        <v/>
      </c>
    </row>
    <row r="2677" spans="9:9" x14ac:dyDescent="0.25">
      <c r="I2677" s="10" t="str">
        <f t="shared" si="41"/>
        <v/>
      </c>
    </row>
    <row r="2678" spans="9:9" x14ac:dyDescent="0.25">
      <c r="I2678" s="10" t="str">
        <f t="shared" si="41"/>
        <v/>
      </c>
    </row>
    <row r="2679" spans="9:9" x14ac:dyDescent="0.25">
      <c r="I2679" s="10" t="str">
        <f t="shared" si="41"/>
        <v/>
      </c>
    </row>
    <row r="2680" spans="9:9" x14ac:dyDescent="0.25">
      <c r="I2680" s="10" t="str">
        <f t="shared" si="41"/>
        <v/>
      </c>
    </row>
    <row r="2681" spans="9:9" x14ac:dyDescent="0.25">
      <c r="I2681" s="10" t="str">
        <f t="shared" si="41"/>
        <v/>
      </c>
    </row>
    <row r="2682" spans="9:9" x14ac:dyDescent="0.25">
      <c r="I2682" s="10" t="str">
        <f t="shared" si="41"/>
        <v/>
      </c>
    </row>
    <row r="2683" spans="9:9" x14ac:dyDescent="0.25">
      <c r="I2683" s="10" t="str">
        <f t="shared" si="41"/>
        <v/>
      </c>
    </row>
    <row r="2684" spans="9:9" x14ac:dyDescent="0.25">
      <c r="I2684" s="10" t="str">
        <f t="shared" si="41"/>
        <v/>
      </c>
    </row>
    <row r="2685" spans="9:9" x14ac:dyDescent="0.25">
      <c r="I2685" s="10" t="str">
        <f t="shared" si="41"/>
        <v/>
      </c>
    </row>
    <row r="2686" spans="9:9" x14ac:dyDescent="0.25">
      <c r="I2686" s="10" t="str">
        <f t="shared" si="41"/>
        <v/>
      </c>
    </row>
    <row r="2687" spans="9:9" x14ac:dyDescent="0.25">
      <c r="I2687" s="10" t="str">
        <f t="shared" si="41"/>
        <v/>
      </c>
    </row>
    <row r="2688" spans="9:9" x14ac:dyDescent="0.25">
      <c r="I2688" s="10" t="str">
        <f t="shared" si="41"/>
        <v/>
      </c>
    </row>
    <row r="2689" spans="9:9" x14ac:dyDescent="0.25">
      <c r="I2689" s="10" t="str">
        <f t="shared" si="41"/>
        <v/>
      </c>
    </row>
    <row r="2690" spans="9:9" x14ac:dyDescent="0.25">
      <c r="I2690" s="10" t="str">
        <f t="shared" si="41"/>
        <v/>
      </c>
    </row>
    <row r="2691" spans="9:9" x14ac:dyDescent="0.25">
      <c r="I2691" s="10" t="str">
        <f t="shared" ref="I2691:I2754" si="42">IFERROR(DATEVALUE(D2691),"")</f>
        <v/>
      </c>
    </row>
    <row r="2692" spans="9:9" x14ac:dyDescent="0.25">
      <c r="I2692" s="10" t="str">
        <f t="shared" si="42"/>
        <v/>
      </c>
    </row>
    <row r="2693" spans="9:9" x14ac:dyDescent="0.25">
      <c r="I2693" s="10" t="str">
        <f t="shared" si="42"/>
        <v/>
      </c>
    </row>
    <row r="2694" spans="9:9" x14ac:dyDescent="0.25">
      <c r="I2694" s="10" t="str">
        <f t="shared" si="42"/>
        <v/>
      </c>
    </row>
    <row r="2695" spans="9:9" x14ac:dyDescent="0.25">
      <c r="I2695" s="10" t="str">
        <f t="shared" si="42"/>
        <v/>
      </c>
    </row>
    <row r="2696" spans="9:9" x14ac:dyDescent="0.25">
      <c r="I2696" s="10" t="str">
        <f t="shared" si="42"/>
        <v/>
      </c>
    </row>
    <row r="2697" spans="9:9" x14ac:dyDescent="0.25">
      <c r="I2697" s="10" t="str">
        <f t="shared" si="42"/>
        <v/>
      </c>
    </row>
    <row r="2698" spans="9:9" x14ac:dyDescent="0.25">
      <c r="I2698" s="10" t="str">
        <f t="shared" si="42"/>
        <v/>
      </c>
    </row>
    <row r="2699" spans="9:9" x14ac:dyDescent="0.25">
      <c r="I2699" s="10" t="str">
        <f t="shared" si="42"/>
        <v/>
      </c>
    </row>
    <row r="2700" spans="9:9" x14ac:dyDescent="0.25">
      <c r="I2700" s="10" t="str">
        <f t="shared" si="42"/>
        <v/>
      </c>
    </row>
    <row r="2701" spans="9:9" x14ac:dyDescent="0.25">
      <c r="I2701" s="10" t="str">
        <f t="shared" si="42"/>
        <v/>
      </c>
    </row>
    <row r="2702" spans="9:9" x14ac:dyDescent="0.25">
      <c r="I2702" s="10" t="str">
        <f t="shared" si="42"/>
        <v/>
      </c>
    </row>
    <row r="2703" spans="9:9" x14ac:dyDescent="0.25">
      <c r="I2703" s="10" t="str">
        <f t="shared" si="42"/>
        <v/>
      </c>
    </row>
    <row r="2704" spans="9:9" x14ac:dyDescent="0.25">
      <c r="I2704" s="10" t="str">
        <f t="shared" si="42"/>
        <v/>
      </c>
    </row>
    <row r="2705" spans="9:9" x14ac:dyDescent="0.25">
      <c r="I2705" s="10" t="str">
        <f t="shared" si="42"/>
        <v/>
      </c>
    </row>
    <row r="2706" spans="9:9" x14ac:dyDescent="0.25">
      <c r="I2706" s="10" t="str">
        <f t="shared" si="42"/>
        <v/>
      </c>
    </row>
    <row r="2707" spans="9:9" x14ac:dyDescent="0.25">
      <c r="I2707" s="10" t="str">
        <f t="shared" si="42"/>
        <v/>
      </c>
    </row>
    <row r="2708" spans="9:9" x14ac:dyDescent="0.25">
      <c r="I2708" s="10" t="str">
        <f t="shared" si="42"/>
        <v/>
      </c>
    </row>
    <row r="2709" spans="9:9" x14ac:dyDescent="0.25">
      <c r="I2709" s="10" t="str">
        <f t="shared" si="42"/>
        <v/>
      </c>
    </row>
    <row r="2710" spans="9:9" x14ac:dyDescent="0.25">
      <c r="I2710" s="10" t="str">
        <f t="shared" si="42"/>
        <v/>
      </c>
    </row>
    <row r="2711" spans="9:9" x14ac:dyDescent="0.25">
      <c r="I2711" s="10" t="str">
        <f t="shared" si="42"/>
        <v/>
      </c>
    </row>
    <row r="2712" spans="9:9" x14ac:dyDescent="0.25">
      <c r="I2712" s="10" t="str">
        <f t="shared" si="42"/>
        <v/>
      </c>
    </row>
    <row r="2713" spans="9:9" x14ac:dyDescent="0.25">
      <c r="I2713" s="10" t="str">
        <f t="shared" si="42"/>
        <v/>
      </c>
    </row>
    <row r="2714" spans="9:9" x14ac:dyDescent="0.25">
      <c r="I2714" s="10" t="str">
        <f t="shared" si="42"/>
        <v/>
      </c>
    </row>
    <row r="2715" spans="9:9" x14ac:dyDescent="0.25">
      <c r="I2715" s="10" t="str">
        <f t="shared" si="42"/>
        <v/>
      </c>
    </row>
    <row r="2716" spans="9:9" x14ac:dyDescent="0.25">
      <c r="I2716" s="10" t="str">
        <f t="shared" si="42"/>
        <v/>
      </c>
    </row>
    <row r="2717" spans="9:9" x14ac:dyDescent="0.25">
      <c r="I2717" s="10" t="str">
        <f t="shared" si="42"/>
        <v/>
      </c>
    </row>
    <row r="2718" spans="9:9" x14ac:dyDescent="0.25">
      <c r="I2718" s="10" t="str">
        <f t="shared" si="42"/>
        <v/>
      </c>
    </row>
    <row r="2719" spans="9:9" x14ac:dyDescent="0.25">
      <c r="I2719" s="10" t="str">
        <f t="shared" si="42"/>
        <v/>
      </c>
    </row>
    <row r="2720" spans="9:9" x14ac:dyDescent="0.25">
      <c r="I2720" s="10" t="str">
        <f t="shared" si="42"/>
        <v/>
      </c>
    </row>
    <row r="2721" spans="9:9" x14ac:dyDescent="0.25">
      <c r="I2721" s="10" t="str">
        <f t="shared" si="42"/>
        <v/>
      </c>
    </row>
    <row r="2722" spans="9:9" x14ac:dyDescent="0.25">
      <c r="I2722" s="10" t="str">
        <f t="shared" si="42"/>
        <v/>
      </c>
    </row>
    <row r="2723" spans="9:9" x14ac:dyDescent="0.25">
      <c r="I2723" s="10" t="str">
        <f t="shared" si="42"/>
        <v/>
      </c>
    </row>
    <row r="2724" spans="9:9" x14ac:dyDescent="0.25">
      <c r="I2724" s="10" t="str">
        <f t="shared" si="42"/>
        <v/>
      </c>
    </row>
    <row r="2725" spans="9:9" x14ac:dyDescent="0.25">
      <c r="I2725" s="10" t="str">
        <f t="shared" si="42"/>
        <v/>
      </c>
    </row>
    <row r="2726" spans="9:9" x14ac:dyDescent="0.25">
      <c r="I2726" s="10" t="str">
        <f t="shared" si="42"/>
        <v/>
      </c>
    </row>
    <row r="2727" spans="9:9" x14ac:dyDescent="0.25">
      <c r="I2727" s="10" t="str">
        <f t="shared" si="42"/>
        <v/>
      </c>
    </row>
    <row r="2728" spans="9:9" x14ac:dyDescent="0.25">
      <c r="I2728" s="10" t="str">
        <f t="shared" si="42"/>
        <v/>
      </c>
    </row>
    <row r="2729" spans="9:9" x14ac:dyDescent="0.25">
      <c r="I2729" s="10" t="str">
        <f t="shared" si="42"/>
        <v/>
      </c>
    </row>
    <row r="2730" spans="9:9" x14ac:dyDescent="0.25">
      <c r="I2730" s="10" t="str">
        <f t="shared" si="42"/>
        <v/>
      </c>
    </row>
    <row r="2731" spans="9:9" x14ac:dyDescent="0.25">
      <c r="I2731" s="10" t="str">
        <f t="shared" si="42"/>
        <v/>
      </c>
    </row>
    <row r="2732" spans="9:9" x14ac:dyDescent="0.25">
      <c r="I2732" s="10" t="str">
        <f t="shared" si="42"/>
        <v/>
      </c>
    </row>
    <row r="2733" spans="9:9" x14ac:dyDescent="0.25">
      <c r="I2733" s="10" t="str">
        <f t="shared" si="42"/>
        <v/>
      </c>
    </row>
    <row r="2734" spans="9:9" x14ac:dyDescent="0.25">
      <c r="I2734" s="10" t="str">
        <f t="shared" si="42"/>
        <v/>
      </c>
    </row>
    <row r="2735" spans="9:9" x14ac:dyDescent="0.25">
      <c r="I2735" s="10" t="str">
        <f t="shared" si="42"/>
        <v/>
      </c>
    </row>
    <row r="2736" spans="9:9" x14ac:dyDescent="0.25">
      <c r="I2736" s="10" t="str">
        <f t="shared" si="42"/>
        <v/>
      </c>
    </row>
    <row r="2737" spans="9:9" x14ac:dyDescent="0.25">
      <c r="I2737" s="10" t="str">
        <f t="shared" si="42"/>
        <v/>
      </c>
    </row>
    <row r="2738" spans="9:9" x14ac:dyDescent="0.25">
      <c r="I2738" s="10" t="str">
        <f t="shared" si="42"/>
        <v/>
      </c>
    </row>
    <row r="2739" spans="9:9" x14ac:dyDescent="0.25">
      <c r="I2739" s="10" t="str">
        <f t="shared" si="42"/>
        <v/>
      </c>
    </row>
    <row r="2740" spans="9:9" x14ac:dyDescent="0.25">
      <c r="I2740" s="10" t="str">
        <f t="shared" si="42"/>
        <v/>
      </c>
    </row>
    <row r="2741" spans="9:9" x14ac:dyDescent="0.25">
      <c r="I2741" s="10" t="str">
        <f t="shared" si="42"/>
        <v/>
      </c>
    </row>
    <row r="2742" spans="9:9" x14ac:dyDescent="0.25">
      <c r="I2742" s="10" t="str">
        <f t="shared" si="42"/>
        <v/>
      </c>
    </row>
    <row r="2743" spans="9:9" x14ac:dyDescent="0.25">
      <c r="I2743" s="10" t="str">
        <f t="shared" si="42"/>
        <v/>
      </c>
    </row>
    <row r="2744" spans="9:9" x14ac:dyDescent="0.25">
      <c r="I2744" s="10" t="str">
        <f t="shared" si="42"/>
        <v/>
      </c>
    </row>
    <row r="2745" spans="9:9" x14ac:dyDescent="0.25">
      <c r="I2745" s="10" t="str">
        <f t="shared" si="42"/>
        <v/>
      </c>
    </row>
    <row r="2746" spans="9:9" x14ac:dyDescent="0.25">
      <c r="I2746" s="10" t="str">
        <f t="shared" si="42"/>
        <v/>
      </c>
    </row>
    <row r="2747" spans="9:9" x14ac:dyDescent="0.25">
      <c r="I2747" s="10" t="str">
        <f t="shared" si="42"/>
        <v/>
      </c>
    </row>
    <row r="2748" spans="9:9" x14ac:dyDescent="0.25">
      <c r="I2748" s="10" t="str">
        <f t="shared" si="42"/>
        <v/>
      </c>
    </row>
    <row r="2749" spans="9:9" x14ac:dyDescent="0.25">
      <c r="I2749" s="10" t="str">
        <f t="shared" si="42"/>
        <v/>
      </c>
    </row>
    <row r="2750" spans="9:9" x14ac:dyDescent="0.25">
      <c r="I2750" s="10" t="str">
        <f t="shared" si="42"/>
        <v/>
      </c>
    </row>
    <row r="2751" spans="9:9" x14ac:dyDescent="0.25">
      <c r="I2751" s="10" t="str">
        <f t="shared" si="42"/>
        <v/>
      </c>
    </row>
    <row r="2752" spans="9:9" x14ac:dyDescent="0.25">
      <c r="I2752" s="10" t="str">
        <f t="shared" si="42"/>
        <v/>
      </c>
    </row>
    <row r="2753" spans="9:9" x14ac:dyDescent="0.25">
      <c r="I2753" s="10" t="str">
        <f t="shared" si="42"/>
        <v/>
      </c>
    </row>
    <row r="2754" spans="9:9" x14ac:dyDescent="0.25">
      <c r="I2754" s="10" t="str">
        <f t="shared" si="42"/>
        <v/>
      </c>
    </row>
    <row r="2755" spans="9:9" x14ac:dyDescent="0.25">
      <c r="I2755" s="10" t="str">
        <f t="shared" ref="I2755:I2818" si="43">IFERROR(DATEVALUE(D2755),"")</f>
        <v/>
      </c>
    </row>
    <row r="2756" spans="9:9" x14ac:dyDescent="0.25">
      <c r="I2756" s="10" t="str">
        <f t="shared" si="43"/>
        <v/>
      </c>
    </row>
    <row r="2757" spans="9:9" x14ac:dyDescent="0.25">
      <c r="I2757" s="10" t="str">
        <f t="shared" si="43"/>
        <v/>
      </c>
    </row>
    <row r="2758" spans="9:9" x14ac:dyDescent="0.25">
      <c r="I2758" s="10" t="str">
        <f t="shared" si="43"/>
        <v/>
      </c>
    </row>
    <row r="2759" spans="9:9" x14ac:dyDescent="0.25">
      <c r="I2759" s="10" t="str">
        <f t="shared" si="43"/>
        <v/>
      </c>
    </row>
    <row r="2760" spans="9:9" x14ac:dyDescent="0.25">
      <c r="I2760" s="10" t="str">
        <f t="shared" si="43"/>
        <v/>
      </c>
    </row>
    <row r="2761" spans="9:9" x14ac:dyDescent="0.25">
      <c r="I2761" s="10" t="str">
        <f t="shared" si="43"/>
        <v/>
      </c>
    </row>
    <row r="2762" spans="9:9" x14ac:dyDescent="0.25">
      <c r="I2762" s="10" t="str">
        <f t="shared" si="43"/>
        <v/>
      </c>
    </row>
    <row r="2763" spans="9:9" x14ac:dyDescent="0.25">
      <c r="I2763" s="10" t="str">
        <f t="shared" si="43"/>
        <v/>
      </c>
    </row>
    <row r="2764" spans="9:9" x14ac:dyDescent="0.25">
      <c r="I2764" s="10" t="str">
        <f t="shared" si="43"/>
        <v/>
      </c>
    </row>
    <row r="2765" spans="9:9" x14ac:dyDescent="0.25">
      <c r="I2765" s="10" t="str">
        <f t="shared" si="43"/>
        <v/>
      </c>
    </row>
    <row r="2766" spans="9:9" x14ac:dyDescent="0.25">
      <c r="I2766" s="10" t="str">
        <f t="shared" si="43"/>
        <v/>
      </c>
    </row>
    <row r="2767" spans="9:9" x14ac:dyDescent="0.25">
      <c r="I2767" s="10" t="str">
        <f t="shared" si="43"/>
        <v/>
      </c>
    </row>
    <row r="2768" spans="9:9" x14ac:dyDescent="0.25">
      <c r="I2768" s="10" t="str">
        <f t="shared" si="43"/>
        <v/>
      </c>
    </row>
    <row r="2769" spans="9:9" x14ac:dyDescent="0.25">
      <c r="I2769" s="10" t="str">
        <f t="shared" si="43"/>
        <v/>
      </c>
    </row>
    <row r="2770" spans="9:9" x14ac:dyDescent="0.25">
      <c r="I2770" s="10" t="str">
        <f t="shared" si="43"/>
        <v/>
      </c>
    </row>
    <row r="2771" spans="9:9" x14ac:dyDescent="0.25">
      <c r="I2771" s="10" t="str">
        <f t="shared" si="43"/>
        <v/>
      </c>
    </row>
    <row r="2772" spans="9:9" x14ac:dyDescent="0.25">
      <c r="I2772" s="10" t="str">
        <f t="shared" si="43"/>
        <v/>
      </c>
    </row>
    <row r="2773" spans="9:9" x14ac:dyDescent="0.25">
      <c r="I2773" s="10" t="str">
        <f t="shared" si="43"/>
        <v/>
      </c>
    </row>
    <row r="2774" spans="9:9" x14ac:dyDescent="0.25">
      <c r="I2774" s="10" t="str">
        <f t="shared" si="43"/>
        <v/>
      </c>
    </row>
    <row r="2775" spans="9:9" x14ac:dyDescent="0.25">
      <c r="I2775" s="10" t="str">
        <f t="shared" si="43"/>
        <v/>
      </c>
    </row>
    <row r="2776" spans="9:9" x14ac:dyDescent="0.25">
      <c r="I2776" s="10" t="str">
        <f t="shared" si="43"/>
        <v/>
      </c>
    </row>
    <row r="2777" spans="9:9" x14ac:dyDescent="0.25">
      <c r="I2777" s="10" t="str">
        <f t="shared" si="43"/>
        <v/>
      </c>
    </row>
    <row r="2778" spans="9:9" x14ac:dyDescent="0.25">
      <c r="I2778" s="10" t="str">
        <f t="shared" si="43"/>
        <v/>
      </c>
    </row>
    <row r="2779" spans="9:9" x14ac:dyDescent="0.25">
      <c r="I2779" s="10" t="str">
        <f t="shared" si="43"/>
        <v/>
      </c>
    </row>
    <row r="2780" spans="9:9" x14ac:dyDescent="0.25">
      <c r="I2780" s="10" t="str">
        <f t="shared" si="43"/>
        <v/>
      </c>
    </row>
    <row r="2781" spans="9:9" x14ac:dyDescent="0.25">
      <c r="I2781" s="10" t="str">
        <f t="shared" si="43"/>
        <v/>
      </c>
    </row>
    <row r="2782" spans="9:9" x14ac:dyDescent="0.25">
      <c r="I2782" s="10" t="str">
        <f t="shared" si="43"/>
        <v/>
      </c>
    </row>
    <row r="2783" spans="9:9" x14ac:dyDescent="0.25">
      <c r="I2783" s="10" t="str">
        <f t="shared" si="43"/>
        <v/>
      </c>
    </row>
    <row r="2784" spans="9:9" x14ac:dyDescent="0.25">
      <c r="I2784" s="10" t="str">
        <f t="shared" si="43"/>
        <v/>
      </c>
    </row>
    <row r="2785" spans="9:9" x14ac:dyDescent="0.25">
      <c r="I2785" s="10" t="str">
        <f t="shared" si="43"/>
        <v/>
      </c>
    </row>
    <row r="2786" spans="9:9" x14ac:dyDescent="0.25">
      <c r="I2786" s="10" t="str">
        <f t="shared" si="43"/>
        <v/>
      </c>
    </row>
    <row r="2787" spans="9:9" x14ac:dyDescent="0.25">
      <c r="I2787" s="10" t="str">
        <f t="shared" si="43"/>
        <v/>
      </c>
    </row>
    <row r="2788" spans="9:9" x14ac:dyDescent="0.25">
      <c r="I2788" s="10" t="str">
        <f t="shared" si="43"/>
        <v/>
      </c>
    </row>
    <row r="2789" spans="9:9" x14ac:dyDescent="0.25">
      <c r="I2789" s="10" t="str">
        <f t="shared" si="43"/>
        <v/>
      </c>
    </row>
    <row r="2790" spans="9:9" x14ac:dyDescent="0.25">
      <c r="I2790" s="10" t="str">
        <f t="shared" si="43"/>
        <v/>
      </c>
    </row>
    <row r="2791" spans="9:9" x14ac:dyDescent="0.25">
      <c r="I2791" s="10" t="str">
        <f t="shared" si="43"/>
        <v/>
      </c>
    </row>
    <row r="2792" spans="9:9" x14ac:dyDescent="0.25">
      <c r="I2792" s="10" t="str">
        <f t="shared" si="43"/>
        <v/>
      </c>
    </row>
    <row r="2793" spans="9:9" x14ac:dyDescent="0.25">
      <c r="I2793" s="10" t="str">
        <f t="shared" si="43"/>
        <v/>
      </c>
    </row>
    <row r="2794" spans="9:9" x14ac:dyDescent="0.25">
      <c r="I2794" s="10" t="str">
        <f t="shared" si="43"/>
        <v/>
      </c>
    </row>
    <row r="2795" spans="9:9" x14ac:dyDescent="0.25">
      <c r="I2795" s="10" t="str">
        <f t="shared" si="43"/>
        <v/>
      </c>
    </row>
    <row r="2796" spans="9:9" x14ac:dyDescent="0.25">
      <c r="I2796" s="10" t="str">
        <f t="shared" si="43"/>
        <v/>
      </c>
    </row>
    <row r="2797" spans="9:9" x14ac:dyDescent="0.25">
      <c r="I2797" s="10" t="str">
        <f t="shared" si="43"/>
        <v/>
      </c>
    </row>
    <row r="2798" spans="9:9" x14ac:dyDescent="0.25">
      <c r="I2798" s="10" t="str">
        <f t="shared" si="43"/>
        <v/>
      </c>
    </row>
    <row r="2799" spans="9:9" x14ac:dyDescent="0.25">
      <c r="I2799" s="10" t="str">
        <f t="shared" si="43"/>
        <v/>
      </c>
    </row>
    <row r="2800" spans="9:9" x14ac:dyDescent="0.25">
      <c r="I2800" s="10" t="str">
        <f t="shared" si="43"/>
        <v/>
      </c>
    </row>
    <row r="2801" spans="9:9" x14ac:dyDescent="0.25">
      <c r="I2801" s="10" t="str">
        <f t="shared" si="43"/>
        <v/>
      </c>
    </row>
    <row r="2802" spans="9:9" x14ac:dyDescent="0.25">
      <c r="I2802" s="10" t="str">
        <f t="shared" si="43"/>
        <v/>
      </c>
    </row>
    <row r="2803" spans="9:9" x14ac:dyDescent="0.25">
      <c r="I2803" s="10" t="str">
        <f t="shared" si="43"/>
        <v/>
      </c>
    </row>
    <row r="2804" spans="9:9" x14ac:dyDescent="0.25">
      <c r="I2804" s="10" t="str">
        <f t="shared" si="43"/>
        <v/>
      </c>
    </row>
    <row r="2805" spans="9:9" x14ac:dyDescent="0.25">
      <c r="I2805" s="10" t="str">
        <f t="shared" si="43"/>
        <v/>
      </c>
    </row>
    <row r="2806" spans="9:9" x14ac:dyDescent="0.25">
      <c r="I2806" s="10" t="str">
        <f t="shared" si="43"/>
        <v/>
      </c>
    </row>
    <row r="2807" spans="9:9" x14ac:dyDescent="0.25">
      <c r="I2807" s="10" t="str">
        <f t="shared" si="43"/>
        <v/>
      </c>
    </row>
    <row r="2808" spans="9:9" x14ac:dyDescent="0.25">
      <c r="I2808" s="10" t="str">
        <f t="shared" si="43"/>
        <v/>
      </c>
    </row>
    <row r="2809" spans="9:9" x14ac:dyDescent="0.25">
      <c r="I2809" s="10" t="str">
        <f t="shared" si="43"/>
        <v/>
      </c>
    </row>
    <row r="2810" spans="9:9" x14ac:dyDescent="0.25">
      <c r="I2810" s="10" t="str">
        <f t="shared" si="43"/>
        <v/>
      </c>
    </row>
    <row r="2811" spans="9:9" x14ac:dyDescent="0.25">
      <c r="I2811" s="10" t="str">
        <f t="shared" si="43"/>
        <v/>
      </c>
    </row>
    <row r="2812" spans="9:9" x14ac:dyDescent="0.25">
      <c r="I2812" s="10" t="str">
        <f t="shared" si="43"/>
        <v/>
      </c>
    </row>
    <row r="2813" spans="9:9" x14ac:dyDescent="0.25">
      <c r="I2813" s="10" t="str">
        <f t="shared" si="43"/>
        <v/>
      </c>
    </row>
    <row r="2814" spans="9:9" x14ac:dyDescent="0.25">
      <c r="I2814" s="10" t="str">
        <f t="shared" si="43"/>
        <v/>
      </c>
    </row>
    <row r="2815" spans="9:9" x14ac:dyDescent="0.25">
      <c r="I2815" s="10" t="str">
        <f t="shared" si="43"/>
        <v/>
      </c>
    </row>
    <row r="2816" spans="9:9" x14ac:dyDescent="0.25">
      <c r="I2816" s="10" t="str">
        <f t="shared" si="43"/>
        <v/>
      </c>
    </row>
    <row r="2817" spans="9:9" x14ac:dyDescent="0.25">
      <c r="I2817" s="10" t="str">
        <f t="shared" si="43"/>
        <v/>
      </c>
    </row>
    <row r="2818" spans="9:9" x14ac:dyDescent="0.25">
      <c r="I2818" s="10" t="str">
        <f t="shared" si="43"/>
        <v/>
      </c>
    </row>
    <row r="2819" spans="9:9" x14ac:dyDescent="0.25">
      <c r="I2819" s="10" t="str">
        <f t="shared" ref="I2819:I2882" si="44">IFERROR(DATEVALUE(D2819),"")</f>
        <v/>
      </c>
    </row>
    <row r="2820" spans="9:9" x14ac:dyDescent="0.25">
      <c r="I2820" s="10" t="str">
        <f t="shared" si="44"/>
        <v/>
      </c>
    </row>
    <row r="2821" spans="9:9" x14ac:dyDescent="0.25">
      <c r="I2821" s="10" t="str">
        <f t="shared" si="44"/>
        <v/>
      </c>
    </row>
    <row r="2822" spans="9:9" x14ac:dyDescent="0.25">
      <c r="I2822" s="10" t="str">
        <f t="shared" si="44"/>
        <v/>
      </c>
    </row>
    <row r="2823" spans="9:9" x14ac:dyDescent="0.25">
      <c r="I2823" s="10" t="str">
        <f t="shared" si="44"/>
        <v/>
      </c>
    </row>
    <row r="2824" spans="9:9" x14ac:dyDescent="0.25">
      <c r="I2824" s="10" t="str">
        <f t="shared" si="44"/>
        <v/>
      </c>
    </row>
    <row r="2825" spans="9:9" x14ac:dyDescent="0.25">
      <c r="I2825" s="10" t="str">
        <f t="shared" si="44"/>
        <v/>
      </c>
    </row>
    <row r="2826" spans="9:9" x14ac:dyDescent="0.25">
      <c r="I2826" s="10" t="str">
        <f t="shared" si="44"/>
        <v/>
      </c>
    </row>
    <row r="2827" spans="9:9" x14ac:dyDescent="0.25">
      <c r="I2827" s="10" t="str">
        <f t="shared" si="44"/>
        <v/>
      </c>
    </row>
    <row r="2828" spans="9:9" x14ac:dyDescent="0.25">
      <c r="I2828" s="10" t="str">
        <f t="shared" si="44"/>
        <v/>
      </c>
    </row>
    <row r="2829" spans="9:9" x14ac:dyDescent="0.25">
      <c r="I2829" s="10" t="str">
        <f t="shared" si="44"/>
        <v/>
      </c>
    </row>
    <row r="2830" spans="9:9" x14ac:dyDescent="0.25">
      <c r="I2830" s="10" t="str">
        <f t="shared" si="44"/>
        <v/>
      </c>
    </row>
    <row r="2831" spans="9:9" x14ac:dyDescent="0.25">
      <c r="I2831" s="10" t="str">
        <f t="shared" si="44"/>
        <v/>
      </c>
    </row>
    <row r="2832" spans="9:9" x14ac:dyDescent="0.25">
      <c r="I2832" s="10" t="str">
        <f t="shared" si="44"/>
        <v/>
      </c>
    </row>
    <row r="2833" spans="9:9" x14ac:dyDescent="0.25">
      <c r="I2833" s="10" t="str">
        <f t="shared" si="44"/>
        <v/>
      </c>
    </row>
    <row r="2834" spans="9:9" x14ac:dyDescent="0.25">
      <c r="I2834" s="10" t="str">
        <f t="shared" si="44"/>
        <v/>
      </c>
    </row>
    <row r="2835" spans="9:9" x14ac:dyDescent="0.25">
      <c r="I2835" s="10" t="str">
        <f t="shared" si="44"/>
        <v/>
      </c>
    </row>
    <row r="2836" spans="9:9" x14ac:dyDescent="0.25">
      <c r="I2836" s="10" t="str">
        <f t="shared" si="44"/>
        <v/>
      </c>
    </row>
    <row r="2837" spans="9:9" x14ac:dyDescent="0.25">
      <c r="I2837" s="10" t="str">
        <f t="shared" si="44"/>
        <v/>
      </c>
    </row>
    <row r="2838" spans="9:9" x14ac:dyDescent="0.25">
      <c r="I2838" s="10" t="str">
        <f t="shared" si="44"/>
        <v/>
      </c>
    </row>
    <row r="2839" spans="9:9" x14ac:dyDescent="0.25">
      <c r="I2839" s="10" t="str">
        <f t="shared" si="44"/>
        <v/>
      </c>
    </row>
    <row r="2840" spans="9:9" x14ac:dyDescent="0.25">
      <c r="I2840" s="10" t="str">
        <f t="shared" si="44"/>
        <v/>
      </c>
    </row>
    <row r="2841" spans="9:9" x14ac:dyDescent="0.25">
      <c r="I2841" s="10" t="str">
        <f t="shared" si="44"/>
        <v/>
      </c>
    </row>
    <row r="2842" spans="9:9" x14ac:dyDescent="0.25">
      <c r="I2842" s="10" t="str">
        <f t="shared" si="44"/>
        <v/>
      </c>
    </row>
    <row r="2843" spans="9:9" x14ac:dyDescent="0.25">
      <c r="I2843" s="10" t="str">
        <f t="shared" si="44"/>
        <v/>
      </c>
    </row>
    <row r="2844" spans="9:9" x14ac:dyDescent="0.25">
      <c r="I2844" s="10" t="str">
        <f t="shared" si="44"/>
        <v/>
      </c>
    </row>
    <row r="2845" spans="9:9" x14ac:dyDescent="0.25">
      <c r="I2845" s="10" t="str">
        <f t="shared" si="44"/>
        <v/>
      </c>
    </row>
    <row r="2846" spans="9:9" x14ac:dyDescent="0.25">
      <c r="I2846" s="10" t="str">
        <f t="shared" si="44"/>
        <v/>
      </c>
    </row>
    <row r="2847" spans="9:9" x14ac:dyDescent="0.25">
      <c r="I2847" s="10" t="str">
        <f t="shared" si="44"/>
        <v/>
      </c>
    </row>
    <row r="2848" spans="9:9" x14ac:dyDescent="0.25">
      <c r="I2848" s="10" t="str">
        <f t="shared" si="44"/>
        <v/>
      </c>
    </row>
    <row r="2849" spans="9:9" x14ac:dyDescent="0.25">
      <c r="I2849" s="10" t="str">
        <f t="shared" si="44"/>
        <v/>
      </c>
    </row>
    <row r="2850" spans="9:9" x14ac:dyDescent="0.25">
      <c r="I2850" s="10" t="str">
        <f t="shared" si="44"/>
        <v/>
      </c>
    </row>
    <row r="2851" spans="9:9" x14ac:dyDescent="0.25">
      <c r="I2851" s="10" t="str">
        <f t="shared" si="44"/>
        <v/>
      </c>
    </row>
    <row r="2852" spans="9:9" x14ac:dyDescent="0.25">
      <c r="I2852" s="10" t="str">
        <f t="shared" si="44"/>
        <v/>
      </c>
    </row>
    <row r="2853" spans="9:9" x14ac:dyDescent="0.25">
      <c r="I2853" s="10" t="str">
        <f t="shared" si="44"/>
        <v/>
      </c>
    </row>
    <row r="2854" spans="9:9" x14ac:dyDescent="0.25">
      <c r="I2854" s="10" t="str">
        <f t="shared" si="44"/>
        <v/>
      </c>
    </row>
    <row r="2855" spans="9:9" x14ac:dyDescent="0.25">
      <c r="I2855" s="10" t="str">
        <f t="shared" si="44"/>
        <v/>
      </c>
    </row>
    <row r="2856" spans="9:9" x14ac:dyDescent="0.25">
      <c r="I2856" s="10" t="str">
        <f t="shared" si="44"/>
        <v/>
      </c>
    </row>
    <row r="2857" spans="9:9" x14ac:dyDescent="0.25">
      <c r="I2857" s="10" t="str">
        <f t="shared" si="44"/>
        <v/>
      </c>
    </row>
    <row r="2858" spans="9:9" x14ac:dyDescent="0.25">
      <c r="I2858" s="10" t="str">
        <f t="shared" si="44"/>
        <v/>
      </c>
    </row>
    <row r="2859" spans="9:9" x14ac:dyDescent="0.25">
      <c r="I2859" s="10" t="str">
        <f t="shared" si="44"/>
        <v/>
      </c>
    </row>
    <row r="2860" spans="9:9" x14ac:dyDescent="0.25">
      <c r="I2860" s="10" t="str">
        <f t="shared" si="44"/>
        <v/>
      </c>
    </row>
    <row r="2861" spans="9:9" x14ac:dyDescent="0.25">
      <c r="I2861" s="10" t="str">
        <f t="shared" si="44"/>
        <v/>
      </c>
    </row>
    <row r="2862" spans="9:9" x14ac:dyDescent="0.25">
      <c r="I2862" s="10" t="str">
        <f t="shared" si="44"/>
        <v/>
      </c>
    </row>
    <row r="2863" spans="9:9" x14ac:dyDescent="0.25">
      <c r="I2863" s="10" t="str">
        <f t="shared" si="44"/>
        <v/>
      </c>
    </row>
    <row r="2864" spans="9:9" x14ac:dyDescent="0.25">
      <c r="I2864" s="10" t="str">
        <f t="shared" si="44"/>
        <v/>
      </c>
    </row>
    <row r="2865" spans="9:9" x14ac:dyDescent="0.25">
      <c r="I2865" s="10" t="str">
        <f t="shared" si="44"/>
        <v/>
      </c>
    </row>
    <row r="2866" spans="9:9" x14ac:dyDescent="0.25">
      <c r="I2866" s="10" t="str">
        <f t="shared" si="44"/>
        <v/>
      </c>
    </row>
    <row r="2867" spans="9:9" x14ac:dyDescent="0.25">
      <c r="I2867" s="10" t="str">
        <f t="shared" si="44"/>
        <v/>
      </c>
    </row>
    <row r="2868" spans="9:9" x14ac:dyDescent="0.25">
      <c r="I2868" s="10" t="str">
        <f t="shared" si="44"/>
        <v/>
      </c>
    </row>
    <row r="2869" spans="9:9" x14ac:dyDescent="0.25">
      <c r="I2869" s="10" t="str">
        <f t="shared" si="44"/>
        <v/>
      </c>
    </row>
    <row r="2870" spans="9:9" x14ac:dyDescent="0.25">
      <c r="I2870" s="10" t="str">
        <f t="shared" si="44"/>
        <v/>
      </c>
    </row>
    <row r="2871" spans="9:9" x14ac:dyDescent="0.25">
      <c r="I2871" s="10" t="str">
        <f t="shared" si="44"/>
        <v/>
      </c>
    </row>
    <row r="2872" spans="9:9" x14ac:dyDescent="0.25">
      <c r="I2872" s="10" t="str">
        <f t="shared" si="44"/>
        <v/>
      </c>
    </row>
    <row r="2873" spans="9:9" x14ac:dyDescent="0.25">
      <c r="I2873" s="10" t="str">
        <f t="shared" si="44"/>
        <v/>
      </c>
    </row>
    <row r="2874" spans="9:9" x14ac:dyDescent="0.25">
      <c r="I2874" s="10" t="str">
        <f t="shared" si="44"/>
        <v/>
      </c>
    </row>
    <row r="2875" spans="9:9" x14ac:dyDescent="0.25">
      <c r="I2875" s="10" t="str">
        <f t="shared" si="44"/>
        <v/>
      </c>
    </row>
    <row r="2876" spans="9:9" x14ac:dyDescent="0.25">
      <c r="I2876" s="10" t="str">
        <f t="shared" si="44"/>
        <v/>
      </c>
    </row>
    <row r="2877" spans="9:9" x14ac:dyDescent="0.25">
      <c r="I2877" s="10" t="str">
        <f t="shared" si="44"/>
        <v/>
      </c>
    </row>
    <row r="2878" spans="9:9" x14ac:dyDescent="0.25">
      <c r="I2878" s="10" t="str">
        <f t="shared" si="44"/>
        <v/>
      </c>
    </row>
    <row r="2879" spans="9:9" x14ac:dyDescent="0.25">
      <c r="I2879" s="10" t="str">
        <f t="shared" si="44"/>
        <v/>
      </c>
    </row>
    <row r="2880" spans="9:9" x14ac:dyDescent="0.25">
      <c r="I2880" s="10" t="str">
        <f t="shared" si="44"/>
        <v/>
      </c>
    </row>
    <row r="2881" spans="9:9" x14ac:dyDescent="0.25">
      <c r="I2881" s="10" t="str">
        <f t="shared" si="44"/>
        <v/>
      </c>
    </row>
    <row r="2882" spans="9:9" x14ac:dyDescent="0.25">
      <c r="I2882" s="10" t="str">
        <f t="shared" si="44"/>
        <v/>
      </c>
    </row>
    <row r="2883" spans="9:9" x14ac:dyDescent="0.25">
      <c r="I2883" s="10" t="str">
        <f t="shared" ref="I2883:I2946" si="45">IFERROR(DATEVALUE(D2883),"")</f>
        <v/>
      </c>
    </row>
    <row r="2884" spans="9:9" x14ac:dyDescent="0.25">
      <c r="I2884" s="10" t="str">
        <f t="shared" si="45"/>
        <v/>
      </c>
    </row>
    <row r="2885" spans="9:9" x14ac:dyDescent="0.25">
      <c r="I2885" s="10" t="str">
        <f t="shared" si="45"/>
        <v/>
      </c>
    </row>
    <row r="2886" spans="9:9" x14ac:dyDescent="0.25">
      <c r="I2886" s="10" t="str">
        <f t="shared" si="45"/>
        <v/>
      </c>
    </row>
    <row r="2887" spans="9:9" x14ac:dyDescent="0.25">
      <c r="I2887" s="10" t="str">
        <f t="shared" si="45"/>
        <v/>
      </c>
    </row>
    <row r="2888" spans="9:9" x14ac:dyDescent="0.25">
      <c r="I2888" s="10" t="str">
        <f t="shared" si="45"/>
        <v/>
      </c>
    </row>
    <row r="2889" spans="9:9" x14ac:dyDescent="0.25">
      <c r="I2889" s="10" t="str">
        <f t="shared" si="45"/>
        <v/>
      </c>
    </row>
    <row r="2890" spans="9:9" x14ac:dyDescent="0.25">
      <c r="I2890" s="10" t="str">
        <f t="shared" si="45"/>
        <v/>
      </c>
    </row>
    <row r="2891" spans="9:9" x14ac:dyDescent="0.25">
      <c r="I2891" s="10" t="str">
        <f t="shared" si="45"/>
        <v/>
      </c>
    </row>
    <row r="2892" spans="9:9" x14ac:dyDescent="0.25">
      <c r="I2892" s="10" t="str">
        <f t="shared" si="45"/>
        <v/>
      </c>
    </row>
    <row r="2893" spans="9:9" x14ac:dyDescent="0.25">
      <c r="I2893" s="10" t="str">
        <f t="shared" si="45"/>
        <v/>
      </c>
    </row>
    <row r="2894" spans="9:9" x14ac:dyDescent="0.25">
      <c r="I2894" s="10" t="str">
        <f t="shared" si="45"/>
        <v/>
      </c>
    </row>
    <row r="2895" spans="9:9" x14ac:dyDescent="0.25">
      <c r="I2895" s="10" t="str">
        <f t="shared" si="45"/>
        <v/>
      </c>
    </row>
    <row r="2896" spans="9:9" x14ac:dyDescent="0.25">
      <c r="I2896" s="10" t="str">
        <f t="shared" si="45"/>
        <v/>
      </c>
    </row>
    <row r="2897" spans="9:9" x14ac:dyDescent="0.25">
      <c r="I2897" s="10" t="str">
        <f t="shared" si="45"/>
        <v/>
      </c>
    </row>
    <row r="2898" spans="9:9" x14ac:dyDescent="0.25">
      <c r="I2898" s="10" t="str">
        <f t="shared" si="45"/>
        <v/>
      </c>
    </row>
    <row r="2899" spans="9:9" x14ac:dyDescent="0.25">
      <c r="I2899" s="10" t="str">
        <f t="shared" si="45"/>
        <v/>
      </c>
    </row>
    <row r="2900" spans="9:9" x14ac:dyDescent="0.25">
      <c r="I2900" s="10" t="str">
        <f t="shared" si="45"/>
        <v/>
      </c>
    </row>
    <row r="2901" spans="9:9" x14ac:dyDescent="0.25">
      <c r="I2901" s="10" t="str">
        <f t="shared" si="45"/>
        <v/>
      </c>
    </row>
    <row r="2902" spans="9:9" x14ac:dyDescent="0.25">
      <c r="I2902" s="10" t="str">
        <f t="shared" si="45"/>
        <v/>
      </c>
    </row>
    <row r="2903" spans="9:9" x14ac:dyDescent="0.25">
      <c r="I2903" s="10" t="str">
        <f t="shared" si="45"/>
        <v/>
      </c>
    </row>
    <row r="2904" spans="9:9" x14ac:dyDescent="0.25">
      <c r="I2904" s="10" t="str">
        <f t="shared" si="45"/>
        <v/>
      </c>
    </row>
    <row r="2905" spans="9:9" x14ac:dyDescent="0.25">
      <c r="I2905" s="10" t="str">
        <f t="shared" si="45"/>
        <v/>
      </c>
    </row>
    <row r="2906" spans="9:9" x14ac:dyDescent="0.25">
      <c r="I2906" s="10" t="str">
        <f t="shared" si="45"/>
        <v/>
      </c>
    </row>
    <row r="2907" spans="9:9" x14ac:dyDescent="0.25">
      <c r="I2907" s="10" t="str">
        <f t="shared" si="45"/>
        <v/>
      </c>
    </row>
    <row r="2908" spans="9:9" x14ac:dyDescent="0.25">
      <c r="I2908" s="10" t="str">
        <f t="shared" si="45"/>
        <v/>
      </c>
    </row>
    <row r="2909" spans="9:9" x14ac:dyDescent="0.25">
      <c r="I2909" s="10" t="str">
        <f t="shared" si="45"/>
        <v/>
      </c>
    </row>
    <row r="2910" spans="9:9" x14ac:dyDescent="0.25">
      <c r="I2910" s="10" t="str">
        <f t="shared" si="45"/>
        <v/>
      </c>
    </row>
    <row r="2911" spans="9:9" x14ac:dyDescent="0.25">
      <c r="I2911" s="10" t="str">
        <f t="shared" si="45"/>
        <v/>
      </c>
    </row>
    <row r="2912" spans="9:9" x14ac:dyDescent="0.25">
      <c r="I2912" s="10" t="str">
        <f t="shared" si="45"/>
        <v/>
      </c>
    </row>
    <row r="2913" spans="9:9" x14ac:dyDescent="0.25">
      <c r="I2913" s="10" t="str">
        <f t="shared" si="45"/>
        <v/>
      </c>
    </row>
    <row r="2914" spans="9:9" x14ac:dyDescent="0.25">
      <c r="I2914" s="10" t="str">
        <f t="shared" si="45"/>
        <v/>
      </c>
    </row>
    <row r="2915" spans="9:9" x14ac:dyDescent="0.25">
      <c r="I2915" s="10" t="str">
        <f t="shared" si="45"/>
        <v/>
      </c>
    </row>
    <row r="2916" spans="9:9" x14ac:dyDescent="0.25">
      <c r="I2916" s="10" t="str">
        <f t="shared" si="45"/>
        <v/>
      </c>
    </row>
    <row r="2917" spans="9:9" x14ac:dyDescent="0.25">
      <c r="I2917" s="10" t="str">
        <f t="shared" si="45"/>
        <v/>
      </c>
    </row>
    <row r="2918" spans="9:9" x14ac:dyDescent="0.25">
      <c r="I2918" s="10" t="str">
        <f t="shared" si="45"/>
        <v/>
      </c>
    </row>
    <row r="2919" spans="9:9" x14ac:dyDescent="0.25">
      <c r="I2919" s="10" t="str">
        <f t="shared" si="45"/>
        <v/>
      </c>
    </row>
    <row r="2920" spans="9:9" x14ac:dyDescent="0.25">
      <c r="I2920" s="10" t="str">
        <f t="shared" si="45"/>
        <v/>
      </c>
    </row>
    <row r="2921" spans="9:9" x14ac:dyDescent="0.25">
      <c r="I2921" s="10" t="str">
        <f t="shared" si="45"/>
        <v/>
      </c>
    </row>
    <row r="2922" spans="9:9" x14ac:dyDescent="0.25">
      <c r="I2922" s="10" t="str">
        <f t="shared" si="45"/>
        <v/>
      </c>
    </row>
    <row r="2923" spans="9:9" x14ac:dyDescent="0.25">
      <c r="I2923" s="10" t="str">
        <f t="shared" si="45"/>
        <v/>
      </c>
    </row>
    <row r="2924" spans="9:9" x14ac:dyDescent="0.25">
      <c r="I2924" s="10" t="str">
        <f t="shared" si="45"/>
        <v/>
      </c>
    </row>
    <row r="2925" spans="9:9" x14ac:dyDescent="0.25">
      <c r="I2925" s="10" t="str">
        <f t="shared" si="45"/>
        <v/>
      </c>
    </row>
    <row r="2926" spans="9:9" x14ac:dyDescent="0.25">
      <c r="I2926" s="10" t="str">
        <f t="shared" si="45"/>
        <v/>
      </c>
    </row>
    <row r="2927" spans="9:9" x14ac:dyDescent="0.25">
      <c r="I2927" s="10" t="str">
        <f t="shared" si="45"/>
        <v/>
      </c>
    </row>
    <row r="2928" spans="9:9" x14ac:dyDescent="0.25">
      <c r="I2928" s="10" t="str">
        <f t="shared" si="45"/>
        <v/>
      </c>
    </row>
    <row r="2929" spans="9:9" x14ac:dyDescent="0.25">
      <c r="I2929" s="10" t="str">
        <f t="shared" si="45"/>
        <v/>
      </c>
    </row>
    <row r="2930" spans="9:9" x14ac:dyDescent="0.25">
      <c r="I2930" s="10" t="str">
        <f t="shared" si="45"/>
        <v/>
      </c>
    </row>
    <row r="2931" spans="9:9" x14ac:dyDescent="0.25">
      <c r="I2931" s="10" t="str">
        <f t="shared" si="45"/>
        <v/>
      </c>
    </row>
    <row r="2932" spans="9:9" x14ac:dyDescent="0.25">
      <c r="I2932" s="10" t="str">
        <f t="shared" si="45"/>
        <v/>
      </c>
    </row>
    <row r="2933" spans="9:9" x14ac:dyDescent="0.25">
      <c r="I2933" s="10" t="str">
        <f t="shared" si="45"/>
        <v/>
      </c>
    </row>
    <row r="2934" spans="9:9" x14ac:dyDescent="0.25">
      <c r="I2934" s="10" t="str">
        <f t="shared" si="45"/>
        <v/>
      </c>
    </row>
    <row r="2935" spans="9:9" x14ac:dyDescent="0.25">
      <c r="I2935" s="10" t="str">
        <f t="shared" si="45"/>
        <v/>
      </c>
    </row>
    <row r="2936" spans="9:9" x14ac:dyDescent="0.25">
      <c r="I2936" s="10" t="str">
        <f t="shared" si="45"/>
        <v/>
      </c>
    </row>
    <row r="2937" spans="9:9" x14ac:dyDescent="0.25">
      <c r="I2937" s="10" t="str">
        <f t="shared" si="45"/>
        <v/>
      </c>
    </row>
    <row r="2938" spans="9:9" x14ac:dyDescent="0.25">
      <c r="I2938" s="10" t="str">
        <f t="shared" si="45"/>
        <v/>
      </c>
    </row>
    <row r="2939" spans="9:9" x14ac:dyDescent="0.25">
      <c r="I2939" s="10" t="str">
        <f t="shared" si="45"/>
        <v/>
      </c>
    </row>
    <row r="2940" spans="9:9" x14ac:dyDescent="0.25">
      <c r="I2940" s="10" t="str">
        <f t="shared" si="45"/>
        <v/>
      </c>
    </row>
    <row r="2941" spans="9:9" x14ac:dyDescent="0.25">
      <c r="I2941" s="10" t="str">
        <f t="shared" si="45"/>
        <v/>
      </c>
    </row>
    <row r="2942" spans="9:9" x14ac:dyDescent="0.25">
      <c r="I2942" s="10" t="str">
        <f t="shared" si="45"/>
        <v/>
      </c>
    </row>
    <row r="2943" spans="9:9" x14ac:dyDescent="0.25">
      <c r="I2943" s="10" t="str">
        <f t="shared" si="45"/>
        <v/>
      </c>
    </row>
    <row r="2944" spans="9:9" x14ac:dyDescent="0.25">
      <c r="I2944" s="10" t="str">
        <f t="shared" si="45"/>
        <v/>
      </c>
    </row>
    <row r="2945" spans="9:9" x14ac:dyDescent="0.25">
      <c r="I2945" s="10" t="str">
        <f t="shared" si="45"/>
        <v/>
      </c>
    </row>
    <row r="2946" spans="9:9" x14ac:dyDescent="0.25">
      <c r="I2946" s="10" t="str">
        <f t="shared" si="45"/>
        <v/>
      </c>
    </row>
    <row r="2947" spans="9:9" x14ac:dyDescent="0.25">
      <c r="I2947" s="10" t="str">
        <f t="shared" ref="I2947:I3000" si="46">IFERROR(DATEVALUE(D2947),"")</f>
        <v/>
      </c>
    </row>
    <row r="2948" spans="9:9" x14ac:dyDescent="0.25">
      <c r="I2948" s="10" t="str">
        <f t="shared" si="46"/>
        <v/>
      </c>
    </row>
    <row r="2949" spans="9:9" x14ac:dyDescent="0.25">
      <c r="I2949" s="10" t="str">
        <f t="shared" si="46"/>
        <v/>
      </c>
    </row>
    <row r="2950" spans="9:9" x14ac:dyDescent="0.25">
      <c r="I2950" s="10" t="str">
        <f t="shared" si="46"/>
        <v/>
      </c>
    </row>
    <row r="2951" spans="9:9" x14ac:dyDescent="0.25">
      <c r="I2951" s="10" t="str">
        <f t="shared" si="46"/>
        <v/>
      </c>
    </row>
    <row r="2952" spans="9:9" x14ac:dyDescent="0.25">
      <c r="I2952" s="10" t="str">
        <f t="shared" si="46"/>
        <v/>
      </c>
    </row>
    <row r="2953" spans="9:9" x14ac:dyDescent="0.25">
      <c r="I2953" s="10" t="str">
        <f t="shared" si="46"/>
        <v/>
      </c>
    </row>
    <row r="2954" spans="9:9" x14ac:dyDescent="0.25">
      <c r="I2954" s="10" t="str">
        <f t="shared" si="46"/>
        <v/>
      </c>
    </row>
    <row r="2955" spans="9:9" x14ac:dyDescent="0.25">
      <c r="I2955" s="10" t="str">
        <f t="shared" si="46"/>
        <v/>
      </c>
    </row>
    <row r="2956" spans="9:9" x14ac:dyDescent="0.25">
      <c r="I2956" s="10" t="str">
        <f t="shared" si="46"/>
        <v/>
      </c>
    </row>
    <row r="2957" spans="9:9" x14ac:dyDescent="0.25">
      <c r="I2957" s="10" t="str">
        <f t="shared" si="46"/>
        <v/>
      </c>
    </row>
    <row r="2958" spans="9:9" x14ac:dyDescent="0.25">
      <c r="I2958" s="10" t="str">
        <f t="shared" si="46"/>
        <v/>
      </c>
    </row>
    <row r="2959" spans="9:9" x14ac:dyDescent="0.25">
      <c r="I2959" s="10" t="str">
        <f t="shared" si="46"/>
        <v/>
      </c>
    </row>
    <row r="2960" spans="9:9" x14ac:dyDescent="0.25">
      <c r="I2960" s="10" t="str">
        <f t="shared" si="46"/>
        <v/>
      </c>
    </row>
    <row r="2961" spans="9:9" x14ac:dyDescent="0.25">
      <c r="I2961" s="10" t="str">
        <f t="shared" si="46"/>
        <v/>
      </c>
    </row>
    <row r="2962" spans="9:9" x14ac:dyDescent="0.25">
      <c r="I2962" s="10" t="str">
        <f t="shared" si="46"/>
        <v/>
      </c>
    </row>
    <row r="2963" spans="9:9" x14ac:dyDescent="0.25">
      <c r="I2963" s="10" t="str">
        <f t="shared" si="46"/>
        <v/>
      </c>
    </row>
    <row r="2964" spans="9:9" x14ac:dyDescent="0.25">
      <c r="I2964" s="10" t="str">
        <f t="shared" si="46"/>
        <v/>
      </c>
    </row>
    <row r="2965" spans="9:9" x14ac:dyDescent="0.25">
      <c r="I2965" s="10" t="str">
        <f t="shared" si="46"/>
        <v/>
      </c>
    </row>
    <row r="2966" spans="9:9" x14ac:dyDescent="0.25">
      <c r="I2966" s="10" t="str">
        <f t="shared" si="46"/>
        <v/>
      </c>
    </row>
    <row r="2967" spans="9:9" x14ac:dyDescent="0.25">
      <c r="I2967" s="10" t="str">
        <f t="shared" si="46"/>
        <v/>
      </c>
    </row>
    <row r="2968" spans="9:9" x14ac:dyDescent="0.25">
      <c r="I2968" s="10" t="str">
        <f t="shared" si="46"/>
        <v/>
      </c>
    </row>
    <row r="2969" spans="9:9" x14ac:dyDescent="0.25">
      <c r="I2969" s="10" t="str">
        <f t="shared" si="46"/>
        <v/>
      </c>
    </row>
    <row r="2970" spans="9:9" x14ac:dyDescent="0.25">
      <c r="I2970" s="10" t="str">
        <f t="shared" si="46"/>
        <v/>
      </c>
    </row>
    <row r="2971" spans="9:9" x14ac:dyDescent="0.25">
      <c r="I2971" s="10" t="str">
        <f t="shared" si="46"/>
        <v/>
      </c>
    </row>
    <row r="2972" spans="9:9" x14ac:dyDescent="0.25">
      <c r="I2972" s="10" t="str">
        <f t="shared" si="46"/>
        <v/>
      </c>
    </row>
    <row r="2973" spans="9:9" x14ac:dyDescent="0.25">
      <c r="I2973" s="10" t="str">
        <f t="shared" si="46"/>
        <v/>
      </c>
    </row>
    <row r="2974" spans="9:9" x14ac:dyDescent="0.25">
      <c r="I2974" s="10" t="str">
        <f t="shared" si="46"/>
        <v/>
      </c>
    </row>
    <row r="2975" spans="9:9" x14ac:dyDescent="0.25">
      <c r="I2975" s="10" t="str">
        <f t="shared" si="46"/>
        <v/>
      </c>
    </row>
    <row r="2976" spans="9:9" x14ac:dyDescent="0.25">
      <c r="I2976" s="10" t="str">
        <f t="shared" si="46"/>
        <v/>
      </c>
    </row>
    <row r="2977" spans="9:9" x14ac:dyDescent="0.25">
      <c r="I2977" s="10" t="str">
        <f t="shared" si="46"/>
        <v/>
      </c>
    </row>
    <row r="2978" spans="9:9" x14ac:dyDescent="0.25">
      <c r="I2978" s="10" t="str">
        <f t="shared" si="46"/>
        <v/>
      </c>
    </row>
    <row r="2979" spans="9:9" x14ac:dyDescent="0.25">
      <c r="I2979" s="10" t="str">
        <f t="shared" si="46"/>
        <v/>
      </c>
    </row>
    <row r="2980" spans="9:9" x14ac:dyDescent="0.25">
      <c r="I2980" s="10" t="str">
        <f t="shared" si="46"/>
        <v/>
      </c>
    </row>
    <row r="2981" spans="9:9" x14ac:dyDescent="0.25">
      <c r="I2981" s="10" t="str">
        <f t="shared" si="46"/>
        <v/>
      </c>
    </row>
    <row r="2982" spans="9:9" x14ac:dyDescent="0.25">
      <c r="I2982" s="10" t="str">
        <f t="shared" si="46"/>
        <v/>
      </c>
    </row>
    <row r="2983" spans="9:9" x14ac:dyDescent="0.25">
      <c r="I2983" s="10" t="str">
        <f t="shared" si="46"/>
        <v/>
      </c>
    </row>
    <row r="2984" spans="9:9" x14ac:dyDescent="0.25">
      <c r="I2984" s="10" t="str">
        <f t="shared" si="46"/>
        <v/>
      </c>
    </row>
    <row r="2985" spans="9:9" x14ac:dyDescent="0.25">
      <c r="I2985" s="10" t="str">
        <f t="shared" si="46"/>
        <v/>
      </c>
    </row>
    <row r="2986" spans="9:9" x14ac:dyDescent="0.25">
      <c r="I2986" s="10" t="str">
        <f t="shared" si="46"/>
        <v/>
      </c>
    </row>
    <row r="2987" spans="9:9" x14ac:dyDescent="0.25">
      <c r="I2987" s="10" t="str">
        <f t="shared" si="46"/>
        <v/>
      </c>
    </row>
    <row r="2988" spans="9:9" x14ac:dyDescent="0.25">
      <c r="I2988" s="10" t="str">
        <f t="shared" si="46"/>
        <v/>
      </c>
    </row>
    <row r="2989" spans="9:9" x14ac:dyDescent="0.25">
      <c r="I2989" s="10" t="str">
        <f t="shared" si="46"/>
        <v/>
      </c>
    </row>
    <row r="2990" spans="9:9" x14ac:dyDescent="0.25">
      <c r="I2990" s="10" t="str">
        <f t="shared" si="46"/>
        <v/>
      </c>
    </row>
    <row r="2991" spans="9:9" x14ac:dyDescent="0.25">
      <c r="I2991" s="10" t="str">
        <f t="shared" si="46"/>
        <v/>
      </c>
    </row>
    <row r="2992" spans="9:9" x14ac:dyDescent="0.25">
      <c r="I2992" s="10" t="str">
        <f t="shared" si="46"/>
        <v/>
      </c>
    </row>
    <row r="2993" spans="9:9" x14ac:dyDescent="0.25">
      <c r="I2993" s="10" t="str">
        <f t="shared" si="46"/>
        <v/>
      </c>
    </row>
    <row r="2994" spans="9:9" x14ac:dyDescent="0.25">
      <c r="I2994" s="10" t="str">
        <f t="shared" si="46"/>
        <v/>
      </c>
    </row>
    <row r="2995" spans="9:9" x14ac:dyDescent="0.25">
      <c r="I2995" s="10" t="str">
        <f t="shared" si="46"/>
        <v/>
      </c>
    </row>
    <row r="2996" spans="9:9" x14ac:dyDescent="0.25">
      <c r="I2996" s="10" t="str">
        <f t="shared" si="46"/>
        <v/>
      </c>
    </row>
    <row r="2997" spans="9:9" x14ac:dyDescent="0.25">
      <c r="I2997" s="10" t="str">
        <f t="shared" si="46"/>
        <v/>
      </c>
    </row>
    <row r="2998" spans="9:9" x14ac:dyDescent="0.25">
      <c r="I2998" s="10" t="str">
        <f t="shared" si="46"/>
        <v/>
      </c>
    </row>
    <row r="2999" spans="9:9" x14ac:dyDescent="0.25">
      <c r="I2999" s="10" t="str">
        <f t="shared" si="46"/>
        <v/>
      </c>
    </row>
    <row r="3000" spans="9:9" x14ac:dyDescent="0.25">
      <c r="I3000" s="10" t="str">
        <f t="shared" si="46"/>
        <v/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E406-9CC6-D34F-A89A-38D2A563C382}">
  <dimension ref="A1:H3000"/>
  <sheetViews>
    <sheetView workbookViewId="0"/>
  </sheetViews>
  <sheetFormatPr defaultColWidth="10.85546875" defaultRowHeight="15" x14ac:dyDescent="0.25"/>
  <cols>
    <col min="1" max="1" width="12" bestFit="1" customWidth="1"/>
    <col min="2" max="2" width="13.140625" bestFit="1" customWidth="1"/>
    <col min="3" max="3" width="42.140625" bestFit="1" customWidth="1"/>
    <col min="4" max="4" width="42.140625" customWidth="1"/>
    <col min="5" max="5" width="9" bestFit="1" customWidth="1"/>
    <col min="6" max="6" width="9.28515625" bestFit="1" customWidth="1"/>
    <col min="7" max="7" width="6.7109375" bestFit="1" customWidth="1"/>
    <col min="8" max="8" width="13.7109375" style="4" customWidth="1"/>
  </cols>
  <sheetData>
    <row r="1" spans="1:8" x14ac:dyDescent="0.25">
      <c r="A1" s="2" t="s">
        <v>13</v>
      </c>
      <c r="B1" s="2" t="s">
        <v>3</v>
      </c>
      <c r="C1" s="2" t="s">
        <v>2</v>
      </c>
      <c r="D1" s="2" t="s">
        <v>47</v>
      </c>
      <c r="E1" s="2" t="s">
        <v>8</v>
      </c>
      <c r="F1" s="2" t="s">
        <v>14</v>
      </c>
      <c r="G1" s="2" t="s">
        <v>10</v>
      </c>
      <c r="H1" s="5" t="s">
        <v>23</v>
      </c>
    </row>
    <row r="2" spans="1:8" x14ac:dyDescent="0.25">
      <c r="H2" s="10" t="str">
        <f>IFERROR(DATEVALUE(C2),"")</f>
        <v/>
      </c>
    </row>
    <row r="3" spans="1:8" x14ac:dyDescent="0.25">
      <c r="H3" s="10" t="str">
        <f t="shared" ref="H3:H4" si="0">IFERROR(DATEVALUE(C3),"")</f>
        <v/>
      </c>
    </row>
    <row r="4" spans="1:8" x14ac:dyDescent="0.25">
      <c r="H4" s="10" t="str">
        <f t="shared" si="0"/>
        <v/>
      </c>
    </row>
    <row r="5" spans="1:8" x14ac:dyDescent="0.25">
      <c r="H5" s="10" t="str">
        <f t="shared" ref="H5:H67" si="1">IFERROR(DATEVALUE(C5),"")</f>
        <v/>
      </c>
    </row>
    <row r="6" spans="1:8" x14ac:dyDescent="0.25">
      <c r="H6" s="10" t="str">
        <f t="shared" si="1"/>
        <v/>
      </c>
    </row>
    <row r="7" spans="1:8" x14ac:dyDescent="0.25">
      <c r="H7" s="10" t="str">
        <f t="shared" si="1"/>
        <v/>
      </c>
    </row>
    <row r="8" spans="1:8" x14ac:dyDescent="0.25">
      <c r="H8" s="10" t="str">
        <f t="shared" si="1"/>
        <v/>
      </c>
    </row>
    <row r="9" spans="1:8" x14ac:dyDescent="0.25">
      <c r="H9" s="10" t="str">
        <f t="shared" si="1"/>
        <v/>
      </c>
    </row>
    <row r="10" spans="1:8" x14ac:dyDescent="0.25">
      <c r="F10" s="3"/>
      <c r="G10" s="3"/>
      <c r="H10" s="10" t="str">
        <f t="shared" si="1"/>
        <v/>
      </c>
    </row>
    <row r="11" spans="1:8" x14ac:dyDescent="0.25">
      <c r="F11" s="3"/>
      <c r="G11" s="3"/>
      <c r="H11" s="10" t="str">
        <f t="shared" si="1"/>
        <v/>
      </c>
    </row>
    <row r="12" spans="1:8" x14ac:dyDescent="0.25">
      <c r="F12" s="3"/>
      <c r="G12" s="3"/>
      <c r="H12" s="10" t="str">
        <f t="shared" si="1"/>
        <v/>
      </c>
    </row>
    <row r="13" spans="1:8" x14ac:dyDescent="0.25">
      <c r="F13" s="3"/>
      <c r="G13" s="3"/>
      <c r="H13" s="10" t="str">
        <f t="shared" si="1"/>
        <v/>
      </c>
    </row>
    <row r="14" spans="1:8" x14ac:dyDescent="0.25">
      <c r="F14" s="3"/>
      <c r="G14" s="3"/>
      <c r="H14" s="10" t="str">
        <f t="shared" si="1"/>
        <v/>
      </c>
    </row>
    <row r="15" spans="1:8" x14ac:dyDescent="0.25">
      <c r="F15" s="3"/>
      <c r="G15" s="3"/>
      <c r="H15" s="10" t="str">
        <f t="shared" si="1"/>
        <v/>
      </c>
    </row>
    <row r="16" spans="1:8" x14ac:dyDescent="0.25">
      <c r="F16" s="3"/>
      <c r="G16" s="3"/>
      <c r="H16" s="10" t="str">
        <f t="shared" si="1"/>
        <v/>
      </c>
    </row>
    <row r="17" spans="6:8" x14ac:dyDescent="0.25">
      <c r="F17" s="3"/>
      <c r="G17" s="3"/>
      <c r="H17" s="10" t="str">
        <f t="shared" si="1"/>
        <v/>
      </c>
    </row>
    <row r="18" spans="6:8" x14ac:dyDescent="0.25">
      <c r="F18" s="3"/>
      <c r="G18" s="3"/>
      <c r="H18" s="10" t="str">
        <f t="shared" si="1"/>
        <v/>
      </c>
    </row>
    <row r="19" spans="6:8" x14ac:dyDescent="0.25">
      <c r="F19" s="3"/>
      <c r="G19" s="3"/>
      <c r="H19" s="10" t="str">
        <f t="shared" si="1"/>
        <v/>
      </c>
    </row>
    <row r="20" spans="6:8" x14ac:dyDescent="0.25">
      <c r="F20" s="3"/>
      <c r="G20" s="3"/>
      <c r="H20" s="10" t="str">
        <f t="shared" si="1"/>
        <v/>
      </c>
    </row>
    <row r="21" spans="6:8" x14ac:dyDescent="0.25">
      <c r="F21" s="3"/>
      <c r="G21" s="3"/>
      <c r="H21" s="10" t="str">
        <f t="shared" si="1"/>
        <v/>
      </c>
    </row>
    <row r="22" spans="6:8" x14ac:dyDescent="0.25">
      <c r="F22" s="3"/>
      <c r="G22" s="3"/>
      <c r="H22" s="10" t="str">
        <f t="shared" si="1"/>
        <v/>
      </c>
    </row>
    <row r="23" spans="6:8" x14ac:dyDescent="0.25">
      <c r="F23" s="3"/>
      <c r="G23" s="3"/>
      <c r="H23" s="10" t="str">
        <f t="shared" si="1"/>
        <v/>
      </c>
    </row>
    <row r="24" spans="6:8" x14ac:dyDescent="0.25">
      <c r="F24" s="3"/>
      <c r="G24" s="3"/>
      <c r="H24" s="10" t="str">
        <f t="shared" si="1"/>
        <v/>
      </c>
    </row>
    <row r="25" spans="6:8" x14ac:dyDescent="0.25">
      <c r="F25" s="3"/>
      <c r="G25" s="3"/>
      <c r="H25" s="10" t="str">
        <f t="shared" si="1"/>
        <v/>
      </c>
    </row>
    <row r="26" spans="6:8" x14ac:dyDescent="0.25">
      <c r="F26" s="3"/>
      <c r="G26" s="3"/>
      <c r="H26" s="10" t="str">
        <f t="shared" si="1"/>
        <v/>
      </c>
    </row>
    <row r="27" spans="6:8" x14ac:dyDescent="0.25">
      <c r="F27" s="3"/>
      <c r="G27" s="3"/>
      <c r="H27" s="10" t="str">
        <f t="shared" si="1"/>
        <v/>
      </c>
    </row>
    <row r="28" spans="6:8" x14ac:dyDescent="0.25">
      <c r="F28" s="3"/>
      <c r="G28" s="3"/>
      <c r="H28" s="10" t="str">
        <f t="shared" si="1"/>
        <v/>
      </c>
    </row>
    <row r="29" spans="6:8" x14ac:dyDescent="0.25">
      <c r="F29" s="3"/>
      <c r="G29" s="3"/>
      <c r="H29" s="10" t="str">
        <f t="shared" si="1"/>
        <v/>
      </c>
    </row>
    <row r="30" spans="6:8" x14ac:dyDescent="0.25">
      <c r="F30" s="3"/>
      <c r="G30" s="3"/>
      <c r="H30" s="10" t="str">
        <f t="shared" si="1"/>
        <v/>
      </c>
    </row>
    <row r="31" spans="6:8" x14ac:dyDescent="0.25">
      <c r="F31" s="3"/>
      <c r="G31" s="3"/>
      <c r="H31" s="10" t="str">
        <f t="shared" si="1"/>
        <v/>
      </c>
    </row>
    <row r="32" spans="6:8" x14ac:dyDescent="0.25">
      <c r="F32" s="3"/>
      <c r="G32" s="3"/>
      <c r="H32" s="10" t="str">
        <f t="shared" si="1"/>
        <v/>
      </c>
    </row>
    <row r="33" spans="6:8" x14ac:dyDescent="0.25">
      <c r="F33" s="3"/>
      <c r="G33" s="3"/>
      <c r="H33" s="10" t="str">
        <f t="shared" si="1"/>
        <v/>
      </c>
    </row>
    <row r="34" spans="6:8" x14ac:dyDescent="0.25">
      <c r="F34" s="3"/>
      <c r="G34" s="3"/>
      <c r="H34" s="10" t="str">
        <f t="shared" si="1"/>
        <v/>
      </c>
    </row>
    <row r="35" spans="6:8" x14ac:dyDescent="0.25">
      <c r="H35" s="10" t="str">
        <f t="shared" si="1"/>
        <v/>
      </c>
    </row>
    <row r="36" spans="6:8" x14ac:dyDescent="0.25">
      <c r="H36" s="10" t="str">
        <f t="shared" si="1"/>
        <v/>
      </c>
    </row>
    <row r="37" spans="6:8" x14ac:dyDescent="0.25">
      <c r="H37" s="10" t="str">
        <f t="shared" si="1"/>
        <v/>
      </c>
    </row>
    <row r="38" spans="6:8" x14ac:dyDescent="0.25">
      <c r="H38" s="10" t="str">
        <f t="shared" si="1"/>
        <v/>
      </c>
    </row>
    <row r="39" spans="6:8" x14ac:dyDescent="0.25">
      <c r="H39" s="10" t="str">
        <f t="shared" si="1"/>
        <v/>
      </c>
    </row>
    <row r="40" spans="6:8" x14ac:dyDescent="0.25">
      <c r="H40" s="10" t="str">
        <f t="shared" si="1"/>
        <v/>
      </c>
    </row>
    <row r="41" spans="6:8" x14ac:dyDescent="0.25">
      <c r="H41" s="10" t="str">
        <f t="shared" si="1"/>
        <v/>
      </c>
    </row>
    <row r="42" spans="6:8" x14ac:dyDescent="0.25">
      <c r="H42" s="10" t="str">
        <f t="shared" si="1"/>
        <v/>
      </c>
    </row>
    <row r="43" spans="6:8" x14ac:dyDescent="0.25">
      <c r="H43" s="10" t="str">
        <f t="shared" si="1"/>
        <v/>
      </c>
    </row>
    <row r="44" spans="6:8" x14ac:dyDescent="0.25">
      <c r="H44" s="10" t="str">
        <f t="shared" si="1"/>
        <v/>
      </c>
    </row>
    <row r="45" spans="6:8" x14ac:dyDescent="0.25">
      <c r="H45" s="10" t="str">
        <f t="shared" si="1"/>
        <v/>
      </c>
    </row>
    <row r="46" spans="6:8" x14ac:dyDescent="0.25">
      <c r="H46" s="10" t="str">
        <f t="shared" si="1"/>
        <v/>
      </c>
    </row>
    <row r="47" spans="6:8" x14ac:dyDescent="0.25">
      <c r="H47" s="10" t="str">
        <f t="shared" si="1"/>
        <v/>
      </c>
    </row>
    <row r="48" spans="6:8" x14ac:dyDescent="0.25">
      <c r="H48" s="10" t="str">
        <f t="shared" si="1"/>
        <v/>
      </c>
    </row>
    <row r="49" spans="8:8" x14ac:dyDescent="0.25">
      <c r="H49" s="10" t="str">
        <f t="shared" si="1"/>
        <v/>
      </c>
    </row>
    <row r="50" spans="8:8" x14ac:dyDescent="0.25">
      <c r="H50" s="10" t="str">
        <f t="shared" si="1"/>
        <v/>
      </c>
    </row>
    <row r="51" spans="8:8" x14ac:dyDescent="0.25">
      <c r="H51" s="10" t="str">
        <f t="shared" si="1"/>
        <v/>
      </c>
    </row>
    <row r="52" spans="8:8" x14ac:dyDescent="0.25">
      <c r="H52" s="10" t="str">
        <f t="shared" si="1"/>
        <v/>
      </c>
    </row>
    <row r="53" spans="8:8" x14ac:dyDescent="0.25">
      <c r="H53" s="10" t="str">
        <f t="shared" si="1"/>
        <v/>
      </c>
    </row>
    <row r="54" spans="8:8" x14ac:dyDescent="0.25">
      <c r="H54" s="10" t="str">
        <f t="shared" si="1"/>
        <v/>
      </c>
    </row>
    <row r="55" spans="8:8" x14ac:dyDescent="0.25">
      <c r="H55" s="10" t="str">
        <f t="shared" si="1"/>
        <v/>
      </c>
    </row>
    <row r="56" spans="8:8" x14ac:dyDescent="0.25">
      <c r="H56" s="10" t="str">
        <f t="shared" si="1"/>
        <v/>
      </c>
    </row>
    <row r="57" spans="8:8" x14ac:dyDescent="0.25">
      <c r="H57" s="10" t="str">
        <f t="shared" si="1"/>
        <v/>
      </c>
    </row>
    <row r="58" spans="8:8" x14ac:dyDescent="0.25">
      <c r="H58" s="10" t="str">
        <f t="shared" si="1"/>
        <v/>
      </c>
    </row>
    <row r="59" spans="8:8" x14ac:dyDescent="0.25">
      <c r="H59" s="10" t="str">
        <f t="shared" si="1"/>
        <v/>
      </c>
    </row>
    <row r="60" spans="8:8" x14ac:dyDescent="0.25">
      <c r="H60" s="10" t="str">
        <f t="shared" si="1"/>
        <v/>
      </c>
    </row>
    <row r="61" spans="8:8" x14ac:dyDescent="0.25">
      <c r="H61" s="10" t="str">
        <f t="shared" si="1"/>
        <v/>
      </c>
    </row>
    <row r="62" spans="8:8" x14ac:dyDescent="0.25">
      <c r="H62" s="10" t="str">
        <f t="shared" si="1"/>
        <v/>
      </c>
    </row>
    <row r="63" spans="8:8" x14ac:dyDescent="0.25">
      <c r="H63" s="10" t="str">
        <f t="shared" si="1"/>
        <v/>
      </c>
    </row>
    <row r="64" spans="8:8" x14ac:dyDescent="0.25">
      <c r="H64" s="10" t="str">
        <f t="shared" si="1"/>
        <v/>
      </c>
    </row>
    <row r="65" spans="8:8" x14ac:dyDescent="0.25">
      <c r="H65" s="10" t="str">
        <f t="shared" si="1"/>
        <v/>
      </c>
    </row>
    <row r="66" spans="8:8" x14ac:dyDescent="0.25">
      <c r="H66" s="10" t="str">
        <f t="shared" si="1"/>
        <v/>
      </c>
    </row>
    <row r="67" spans="8:8" x14ac:dyDescent="0.25">
      <c r="H67" s="10" t="str">
        <f t="shared" si="1"/>
        <v/>
      </c>
    </row>
    <row r="68" spans="8:8" x14ac:dyDescent="0.25">
      <c r="H68" s="10" t="str">
        <f t="shared" ref="H68:H131" si="2">IFERROR(DATEVALUE(C68),"")</f>
        <v/>
      </c>
    </row>
    <row r="69" spans="8:8" x14ac:dyDescent="0.25">
      <c r="H69" s="10" t="str">
        <f t="shared" si="2"/>
        <v/>
      </c>
    </row>
    <row r="70" spans="8:8" x14ac:dyDescent="0.25">
      <c r="H70" s="10" t="str">
        <f t="shared" si="2"/>
        <v/>
      </c>
    </row>
    <row r="71" spans="8:8" x14ac:dyDescent="0.25">
      <c r="H71" s="10" t="str">
        <f t="shared" si="2"/>
        <v/>
      </c>
    </row>
    <row r="72" spans="8:8" x14ac:dyDescent="0.25">
      <c r="H72" s="10" t="str">
        <f t="shared" si="2"/>
        <v/>
      </c>
    </row>
    <row r="73" spans="8:8" x14ac:dyDescent="0.25">
      <c r="H73" s="10" t="str">
        <f t="shared" si="2"/>
        <v/>
      </c>
    </row>
    <row r="74" spans="8:8" x14ac:dyDescent="0.25">
      <c r="H74" s="10" t="str">
        <f t="shared" si="2"/>
        <v/>
      </c>
    </row>
    <row r="75" spans="8:8" x14ac:dyDescent="0.25">
      <c r="H75" s="10" t="str">
        <f t="shared" si="2"/>
        <v/>
      </c>
    </row>
    <row r="76" spans="8:8" x14ac:dyDescent="0.25">
      <c r="H76" s="10" t="str">
        <f t="shared" si="2"/>
        <v/>
      </c>
    </row>
    <row r="77" spans="8:8" x14ac:dyDescent="0.25">
      <c r="H77" s="10" t="str">
        <f t="shared" si="2"/>
        <v/>
      </c>
    </row>
    <row r="78" spans="8:8" x14ac:dyDescent="0.25">
      <c r="H78" s="10" t="str">
        <f t="shared" si="2"/>
        <v/>
      </c>
    </row>
    <row r="79" spans="8:8" x14ac:dyDescent="0.25">
      <c r="H79" s="10" t="str">
        <f t="shared" si="2"/>
        <v/>
      </c>
    </row>
    <row r="80" spans="8:8" x14ac:dyDescent="0.25">
      <c r="H80" s="10" t="str">
        <f t="shared" si="2"/>
        <v/>
      </c>
    </row>
    <row r="81" spans="8:8" x14ac:dyDescent="0.25">
      <c r="H81" s="10" t="str">
        <f t="shared" si="2"/>
        <v/>
      </c>
    </row>
    <row r="82" spans="8:8" x14ac:dyDescent="0.25">
      <c r="H82" s="10" t="str">
        <f t="shared" si="2"/>
        <v/>
      </c>
    </row>
    <row r="83" spans="8:8" x14ac:dyDescent="0.25">
      <c r="H83" s="10" t="str">
        <f t="shared" si="2"/>
        <v/>
      </c>
    </row>
    <row r="84" spans="8:8" x14ac:dyDescent="0.25">
      <c r="H84" s="10" t="str">
        <f t="shared" si="2"/>
        <v/>
      </c>
    </row>
    <row r="85" spans="8:8" x14ac:dyDescent="0.25">
      <c r="H85" s="10" t="str">
        <f t="shared" si="2"/>
        <v/>
      </c>
    </row>
    <row r="86" spans="8:8" x14ac:dyDescent="0.25">
      <c r="H86" s="10" t="str">
        <f t="shared" si="2"/>
        <v/>
      </c>
    </row>
    <row r="87" spans="8:8" x14ac:dyDescent="0.25">
      <c r="H87" s="10" t="str">
        <f t="shared" si="2"/>
        <v/>
      </c>
    </row>
    <row r="88" spans="8:8" x14ac:dyDescent="0.25">
      <c r="H88" s="10" t="str">
        <f t="shared" si="2"/>
        <v/>
      </c>
    </row>
    <row r="89" spans="8:8" x14ac:dyDescent="0.25">
      <c r="H89" s="10" t="str">
        <f t="shared" si="2"/>
        <v/>
      </c>
    </row>
    <row r="90" spans="8:8" x14ac:dyDescent="0.25">
      <c r="H90" s="10" t="str">
        <f t="shared" si="2"/>
        <v/>
      </c>
    </row>
    <row r="91" spans="8:8" x14ac:dyDescent="0.25">
      <c r="H91" s="10" t="str">
        <f t="shared" si="2"/>
        <v/>
      </c>
    </row>
    <row r="92" spans="8:8" x14ac:dyDescent="0.25">
      <c r="H92" s="10" t="str">
        <f t="shared" si="2"/>
        <v/>
      </c>
    </row>
    <row r="93" spans="8:8" x14ac:dyDescent="0.25">
      <c r="H93" s="10" t="str">
        <f t="shared" si="2"/>
        <v/>
      </c>
    </row>
    <row r="94" spans="8:8" x14ac:dyDescent="0.25">
      <c r="H94" s="10" t="str">
        <f t="shared" si="2"/>
        <v/>
      </c>
    </row>
    <row r="95" spans="8:8" x14ac:dyDescent="0.25">
      <c r="H95" s="10" t="str">
        <f t="shared" si="2"/>
        <v/>
      </c>
    </row>
    <row r="96" spans="8:8" x14ac:dyDescent="0.25">
      <c r="H96" s="10" t="str">
        <f t="shared" si="2"/>
        <v/>
      </c>
    </row>
    <row r="97" spans="8:8" x14ac:dyDescent="0.25">
      <c r="H97" s="10" t="str">
        <f t="shared" si="2"/>
        <v/>
      </c>
    </row>
    <row r="98" spans="8:8" x14ac:dyDescent="0.25">
      <c r="H98" s="10" t="str">
        <f t="shared" si="2"/>
        <v/>
      </c>
    </row>
    <row r="99" spans="8:8" x14ac:dyDescent="0.25">
      <c r="H99" s="10" t="str">
        <f t="shared" si="2"/>
        <v/>
      </c>
    </row>
    <row r="100" spans="8:8" x14ac:dyDescent="0.25">
      <c r="H100" s="10" t="str">
        <f t="shared" si="2"/>
        <v/>
      </c>
    </row>
    <row r="101" spans="8:8" x14ac:dyDescent="0.25">
      <c r="H101" s="10" t="str">
        <f t="shared" si="2"/>
        <v/>
      </c>
    </row>
    <row r="102" spans="8:8" x14ac:dyDescent="0.25">
      <c r="H102" s="10" t="str">
        <f t="shared" si="2"/>
        <v/>
      </c>
    </row>
    <row r="103" spans="8:8" x14ac:dyDescent="0.25">
      <c r="H103" s="10" t="str">
        <f t="shared" si="2"/>
        <v/>
      </c>
    </row>
    <row r="104" spans="8:8" x14ac:dyDescent="0.25">
      <c r="H104" s="10" t="str">
        <f t="shared" si="2"/>
        <v/>
      </c>
    </row>
    <row r="105" spans="8:8" x14ac:dyDescent="0.25">
      <c r="H105" s="10" t="str">
        <f t="shared" si="2"/>
        <v/>
      </c>
    </row>
    <row r="106" spans="8:8" x14ac:dyDescent="0.25">
      <c r="H106" s="10" t="str">
        <f t="shared" si="2"/>
        <v/>
      </c>
    </row>
    <row r="107" spans="8:8" x14ac:dyDescent="0.25">
      <c r="H107" s="10" t="str">
        <f t="shared" si="2"/>
        <v/>
      </c>
    </row>
    <row r="108" spans="8:8" x14ac:dyDescent="0.25">
      <c r="H108" s="10" t="str">
        <f t="shared" si="2"/>
        <v/>
      </c>
    </row>
    <row r="109" spans="8:8" x14ac:dyDescent="0.25">
      <c r="H109" s="10" t="str">
        <f t="shared" si="2"/>
        <v/>
      </c>
    </row>
    <row r="110" spans="8:8" x14ac:dyDescent="0.25">
      <c r="H110" s="10" t="str">
        <f t="shared" si="2"/>
        <v/>
      </c>
    </row>
    <row r="111" spans="8:8" x14ac:dyDescent="0.25">
      <c r="H111" s="10" t="str">
        <f t="shared" si="2"/>
        <v/>
      </c>
    </row>
    <row r="112" spans="8:8" x14ac:dyDescent="0.25">
      <c r="H112" s="10" t="str">
        <f t="shared" si="2"/>
        <v/>
      </c>
    </row>
    <row r="113" spans="8:8" x14ac:dyDescent="0.25">
      <c r="H113" s="10" t="str">
        <f t="shared" si="2"/>
        <v/>
      </c>
    </row>
    <row r="114" spans="8:8" x14ac:dyDescent="0.25">
      <c r="H114" s="10" t="str">
        <f t="shared" si="2"/>
        <v/>
      </c>
    </row>
    <row r="115" spans="8:8" x14ac:dyDescent="0.25">
      <c r="H115" s="10" t="str">
        <f t="shared" si="2"/>
        <v/>
      </c>
    </row>
    <row r="116" spans="8:8" x14ac:dyDescent="0.25">
      <c r="H116" s="10" t="str">
        <f t="shared" si="2"/>
        <v/>
      </c>
    </row>
    <row r="117" spans="8:8" x14ac:dyDescent="0.25">
      <c r="H117" s="10" t="str">
        <f t="shared" si="2"/>
        <v/>
      </c>
    </row>
    <row r="118" spans="8:8" x14ac:dyDescent="0.25">
      <c r="H118" s="10" t="str">
        <f t="shared" si="2"/>
        <v/>
      </c>
    </row>
    <row r="119" spans="8:8" x14ac:dyDescent="0.25">
      <c r="H119" s="10" t="str">
        <f t="shared" si="2"/>
        <v/>
      </c>
    </row>
    <row r="120" spans="8:8" x14ac:dyDescent="0.25">
      <c r="H120" s="10" t="str">
        <f t="shared" si="2"/>
        <v/>
      </c>
    </row>
    <row r="121" spans="8:8" x14ac:dyDescent="0.25">
      <c r="H121" s="10" t="str">
        <f t="shared" si="2"/>
        <v/>
      </c>
    </row>
    <row r="122" spans="8:8" x14ac:dyDescent="0.25">
      <c r="H122" s="10" t="str">
        <f t="shared" si="2"/>
        <v/>
      </c>
    </row>
    <row r="123" spans="8:8" x14ac:dyDescent="0.25">
      <c r="H123" s="10" t="str">
        <f t="shared" si="2"/>
        <v/>
      </c>
    </row>
    <row r="124" spans="8:8" x14ac:dyDescent="0.25">
      <c r="H124" s="10" t="str">
        <f t="shared" si="2"/>
        <v/>
      </c>
    </row>
    <row r="125" spans="8:8" x14ac:dyDescent="0.25">
      <c r="H125" s="10" t="str">
        <f t="shared" si="2"/>
        <v/>
      </c>
    </row>
    <row r="126" spans="8:8" x14ac:dyDescent="0.25">
      <c r="H126" s="10" t="str">
        <f t="shared" si="2"/>
        <v/>
      </c>
    </row>
    <row r="127" spans="8:8" x14ac:dyDescent="0.25">
      <c r="H127" s="10" t="str">
        <f t="shared" si="2"/>
        <v/>
      </c>
    </row>
    <row r="128" spans="8:8" x14ac:dyDescent="0.25">
      <c r="H128" s="10" t="str">
        <f t="shared" si="2"/>
        <v/>
      </c>
    </row>
    <row r="129" spans="8:8" x14ac:dyDescent="0.25">
      <c r="H129" s="10" t="str">
        <f t="shared" si="2"/>
        <v/>
      </c>
    </row>
    <row r="130" spans="8:8" x14ac:dyDescent="0.25">
      <c r="H130" s="10" t="str">
        <f t="shared" si="2"/>
        <v/>
      </c>
    </row>
    <row r="131" spans="8:8" x14ac:dyDescent="0.25">
      <c r="H131" s="10" t="str">
        <f t="shared" si="2"/>
        <v/>
      </c>
    </row>
    <row r="132" spans="8:8" x14ac:dyDescent="0.25">
      <c r="H132" s="10" t="str">
        <f t="shared" ref="H132:H195" si="3">IFERROR(DATEVALUE(C132),"")</f>
        <v/>
      </c>
    </row>
    <row r="133" spans="8:8" x14ac:dyDescent="0.25">
      <c r="H133" s="10" t="str">
        <f t="shared" si="3"/>
        <v/>
      </c>
    </row>
    <row r="134" spans="8:8" x14ac:dyDescent="0.25">
      <c r="H134" s="10" t="str">
        <f t="shared" si="3"/>
        <v/>
      </c>
    </row>
    <row r="135" spans="8:8" x14ac:dyDescent="0.25">
      <c r="H135" s="10" t="str">
        <f t="shared" si="3"/>
        <v/>
      </c>
    </row>
    <row r="136" spans="8:8" x14ac:dyDescent="0.25">
      <c r="H136" s="10" t="str">
        <f t="shared" si="3"/>
        <v/>
      </c>
    </row>
    <row r="137" spans="8:8" x14ac:dyDescent="0.25">
      <c r="H137" s="10" t="str">
        <f t="shared" si="3"/>
        <v/>
      </c>
    </row>
    <row r="138" spans="8:8" x14ac:dyDescent="0.25">
      <c r="H138" s="10" t="str">
        <f t="shared" si="3"/>
        <v/>
      </c>
    </row>
    <row r="139" spans="8:8" x14ac:dyDescent="0.25">
      <c r="H139" s="10" t="str">
        <f t="shared" si="3"/>
        <v/>
      </c>
    </row>
    <row r="140" spans="8:8" x14ac:dyDescent="0.25">
      <c r="H140" s="10" t="str">
        <f t="shared" si="3"/>
        <v/>
      </c>
    </row>
    <row r="141" spans="8:8" x14ac:dyDescent="0.25">
      <c r="H141" s="10" t="str">
        <f t="shared" si="3"/>
        <v/>
      </c>
    </row>
    <row r="142" spans="8:8" x14ac:dyDescent="0.25">
      <c r="H142" s="10" t="str">
        <f t="shared" si="3"/>
        <v/>
      </c>
    </row>
    <row r="143" spans="8:8" x14ac:dyDescent="0.25">
      <c r="H143" s="10" t="str">
        <f t="shared" si="3"/>
        <v/>
      </c>
    </row>
    <row r="144" spans="8:8" x14ac:dyDescent="0.25">
      <c r="H144" s="10" t="str">
        <f t="shared" si="3"/>
        <v/>
      </c>
    </row>
    <row r="145" spans="8:8" x14ac:dyDescent="0.25">
      <c r="H145" s="10" t="str">
        <f t="shared" si="3"/>
        <v/>
      </c>
    </row>
    <row r="146" spans="8:8" x14ac:dyDescent="0.25">
      <c r="H146" s="10" t="str">
        <f t="shared" si="3"/>
        <v/>
      </c>
    </row>
    <row r="147" spans="8:8" x14ac:dyDescent="0.25">
      <c r="H147" s="10" t="str">
        <f t="shared" si="3"/>
        <v/>
      </c>
    </row>
    <row r="148" spans="8:8" x14ac:dyDescent="0.25">
      <c r="H148" s="10" t="str">
        <f t="shared" si="3"/>
        <v/>
      </c>
    </row>
    <row r="149" spans="8:8" x14ac:dyDescent="0.25">
      <c r="H149" s="10" t="str">
        <f t="shared" si="3"/>
        <v/>
      </c>
    </row>
    <row r="150" spans="8:8" x14ac:dyDescent="0.25">
      <c r="H150" s="10" t="str">
        <f t="shared" si="3"/>
        <v/>
      </c>
    </row>
    <row r="151" spans="8:8" x14ac:dyDescent="0.25">
      <c r="H151" s="10" t="str">
        <f t="shared" si="3"/>
        <v/>
      </c>
    </row>
    <row r="152" spans="8:8" x14ac:dyDescent="0.25">
      <c r="H152" s="10" t="str">
        <f t="shared" si="3"/>
        <v/>
      </c>
    </row>
    <row r="153" spans="8:8" x14ac:dyDescent="0.25">
      <c r="H153" s="10" t="str">
        <f t="shared" si="3"/>
        <v/>
      </c>
    </row>
    <row r="154" spans="8:8" x14ac:dyDescent="0.25">
      <c r="H154" s="10" t="str">
        <f t="shared" si="3"/>
        <v/>
      </c>
    </row>
    <row r="155" spans="8:8" x14ac:dyDescent="0.25">
      <c r="H155" s="10" t="str">
        <f t="shared" si="3"/>
        <v/>
      </c>
    </row>
    <row r="156" spans="8:8" x14ac:dyDescent="0.25">
      <c r="H156" s="10" t="str">
        <f t="shared" si="3"/>
        <v/>
      </c>
    </row>
    <row r="157" spans="8:8" x14ac:dyDescent="0.25">
      <c r="H157" s="10" t="str">
        <f t="shared" si="3"/>
        <v/>
      </c>
    </row>
    <row r="158" spans="8:8" x14ac:dyDescent="0.25">
      <c r="H158" s="10" t="str">
        <f t="shared" si="3"/>
        <v/>
      </c>
    </row>
    <row r="159" spans="8:8" x14ac:dyDescent="0.25">
      <c r="H159" s="10" t="str">
        <f t="shared" si="3"/>
        <v/>
      </c>
    </row>
    <row r="160" spans="8:8" x14ac:dyDescent="0.25">
      <c r="H160" s="10" t="str">
        <f t="shared" si="3"/>
        <v/>
      </c>
    </row>
    <row r="161" spans="8:8" x14ac:dyDescent="0.25">
      <c r="H161" s="10" t="str">
        <f t="shared" si="3"/>
        <v/>
      </c>
    </row>
    <row r="162" spans="8:8" x14ac:dyDescent="0.25">
      <c r="H162" s="10" t="str">
        <f t="shared" si="3"/>
        <v/>
      </c>
    </row>
    <row r="163" spans="8:8" x14ac:dyDescent="0.25">
      <c r="H163" s="10" t="str">
        <f t="shared" si="3"/>
        <v/>
      </c>
    </row>
    <row r="164" spans="8:8" x14ac:dyDescent="0.25">
      <c r="H164" s="10" t="str">
        <f t="shared" si="3"/>
        <v/>
      </c>
    </row>
    <row r="165" spans="8:8" x14ac:dyDescent="0.25">
      <c r="H165" s="10" t="str">
        <f t="shared" si="3"/>
        <v/>
      </c>
    </row>
    <row r="166" spans="8:8" x14ac:dyDescent="0.25">
      <c r="H166" s="10" t="str">
        <f t="shared" si="3"/>
        <v/>
      </c>
    </row>
    <row r="167" spans="8:8" x14ac:dyDescent="0.25">
      <c r="H167" s="10" t="str">
        <f t="shared" si="3"/>
        <v/>
      </c>
    </row>
    <row r="168" spans="8:8" x14ac:dyDescent="0.25">
      <c r="H168" s="10" t="str">
        <f t="shared" si="3"/>
        <v/>
      </c>
    </row>
    <row r="169" spans="8:8" x14ac:dyDescent="0.25">
      <c r="H169" s="10" t="str">
        <f t="shared" si="3"/>
        <v/>
      </c>
    </row>
    <row r="170" spans="8:8" x14ac:dyDescent="0.25">
      <c r="H170" s="10" t="str">
        <f t="shared" si="3"/>
        <v/>
      </c>
    </row>
    <row r="171" spans="8:8" x14ac:dyDescent="0.25">
      <c r="H171" s="10" t="str">
        <f t="shared" si="3"/>
        <v/>
      </c>
    </row>
    <row r="172" spans="8:8" x14ac:dyDescent="0.25">
      <c r="H172" s="10" t="str">
        <f t="shared" si="3"/>
        <v/>
      </c>
    </row>
    <row r="173" spans="8:8" x14ac:dyDescent="0.25">
      <c r="H173" s="10" t="str">
        <f t="shared" si="3"/>
        <v/>
      </c>
    </row>
    <row r="174" spans="8:8" x14ac:dyDescent="0.25">
      <c r="H174" s="10" t="str">
        <f t="shared" si="3"/>
        <v/>
      </c>
    </row>
    <row r="175" spans="8:8" x14ac:dyDescent="0.25">
      <c r="H175" s="10" t="str">
        <f t="shared" si="3"/>
        <v/>
      </c>
    </row>
    <row r="176" spans="8:8" x14ac:dyDescent="0.25">
      <c r="H176" s="10" t="str">
        <f t="shared" si="3"/>
        <v/>
      </c>
    </row>
    <row r="177" spans="8:8" x14ac:dyDescent="0.25">
      <c r="H177" s="10" t="str">
        <f t="shared" si="3"/>
        <v/>
      </c>
    </row>
    <row r="178" spans="8:8" x14ac:dyDescent="0.25">
      <c r="H178" s="10" t="str">
        <f t="shared" si="3"/>
        <v/>
      </c>
    </row>
    <row r="179" spans="8:8" x14ac:dyDescent="0.25">
      <c r="H179" s="10" t="str">
        <f t="shared" si="3"/>
        <v/>
      </c>
    </row>
    <row r="180" spans="8:8" x14ac:dyDescent="0.25">
      <c r="H180" s="10" t="str">
        <f t="shared" si="3"/>
        <v/>
      </c>
    </row>
    <row r="181" spans="8:8" x14ac:dyDescent="0.25">
      <c r="H181" s="10" t="str">
        <f t="shared" si="3"/>
        <v/>
      </c>
    </row>
    <row r="182" spans="8:8" x14ac:dyDescent="0.25">
      <c r="H182" s="10" t="str">
        <f t="shared" si="3"/>
        <v/>
      </c>
    </row>
    <row r="183" spans="8:8" x14ac:dyDescent="0.25">
      <c r="H183" s="10" t="str">
        <f t="shared" si="3"/>
        <v/>
      </c>
    </row>
    <row r="184" spans="8:8" x14ac:dyDescent="0.25">
      <c r="H184" s="10" t="str">
        <f t="shared" si="3"/>
        <v/>
      </c>
    </row>
    <row r="185" spans="8:8" x14ac:dyDescent="0.25">
      <c r="H185" s="10" t="str">
        <f t="shared" si="3"/>
        <v/>
      </c>
    </row>
    <row r="186" spans="8:8" x14ac:dyDescent="0.25">
      <c r="H186" s="10" t="str">
        <f t="shared" si="3"/>
        <v/>
      </c>
    </row>
    <row r="187" spans="8:8" x14ac:dyDescent="0.25">
      <c r="H187" s="10" t="str">
        <f t="shared" si="3"/>
        <v/>
      </c>
    </row>
    <row r="188" spans="8:8" x14ac:dyDescent="0.25">
      <c r="H188" s="10" t="str">
        <f t="shared" si="3"/>
        <v/>
      </c>
    </row>
    <row r="189" spans="8:8" x14ac:dyDescent="0.25">
      <c r="H189" s="10" t="str">
        <f t="shared" si="3"/>
        <v/>
      </c>
    </row>
    <row r="190" spans="8:8" x14ac:dyDescent="0.25">
      <c r="H190" s="10" t="str">
        <f t="shared" si="3"/>
        <v/>
      </c>
    </row>
    <row r="191" spans="8:8" x14ac:dyDescent="0.25">
      <c r="H191" s="10" t="str">
        <f t="shared" si="3"/>
        <v/>
      </c>
    </row>
    <row r="192" spans="8:8" x14ac:dyDescent="0.25">
      <c r="H192" s="10" t="str">
        <f t="shared" si="3"/>
        <v/>
      </c>
    </row>
    <row r="193" spans="8:8" x14ac:dyDescent="0.25">
      <c r="H193" s="10" t="str">
        <f t="shared" si="3"/>
        <v/>
      </c>
    </row>
    <row r="194" spans="8:8" x14ac:dyDescent="0.25">
      <c r="H194" s="10" t="str">
        <f t="shared" si="3"/>
        <v/>
      </c>
    </row>
    <row r="195" spans="8:8" x14ac:dyDescent="0.25">
      <c r="H195" s="10" t="str">
        <f t="shared" si="3"/>
        <v/>
      </c>
    </row>
    <row r="196" spans="8:8" x14ac:dyDescent="0.25">
      <c r="H196" s="10" t="str">
        <f t="shared" ref="H196:H259" si="4">IFERROR(DATEVALUE(C196),"")</f>
        <v/>
      </c>
    </row>
    <row r="197" spans="8:8" x14ac:dyDescent="0.25">
      <c r="H197" s="10" t="str">
        <f t="shared" si="4"/>
        <v/>
      </c>
    </row>
    <row r="198" spans="8:8" x14ac:dyDescent="0.25">
      <c r="H198" s="10" t="str">
        <f t="shared" si="4"/>
        <v/>
      </c>
    </row>
    <row r="199" spans="8:8" x14ac:dyDescent="0.25">
      <c r="H199" s="10" t="str">
        <f t="shared" si="4"/>
        <v/>
      </c>
    </row>
    <row r="200" spans="8:8" x14ac:dyDescent="0.25">
      <c r="H200" s="10" t="str">
        <f t="shared" si="4"/>
        <v/>
      </c>
    </row>
    <row r="201" spans="8:8" x14ac:dyDescent="0.25">
      <c r="H201" s="10" t="str">
        <f t="shared" si="4"/>
        <v/>
      </c>
    </row>
    <row r="202" spans="8:8" x14ac:dyDescent="0.25">
      <c r="H202" s="10" t="str">
        <f t="shared" si="4"/>
        <v/>
      </c>
    </row>
    <row r="203" spans="8:8" x14ac:dyDescent="0.25">
      <c r="H203" s="10" t="str">
        <f t="shared" si="4"/>
        <v/>
      </c>
    </row>
    <row r="204" spans="8:8" x14ac:dyDescent="0.25">
      <c r="H204" s="10" t="str">
        <f t="shared" si="4"/>
        <v/>
      </c>
    </row>
    <row r="205" spans="8:8" x14ac:dyDescent="0.25">
      <c r="H205" s="10" t="str">
        <f t="shared" si="4"/>
        <v/>
      </c>
    </row>
    <row r="206" spans="8:8" x14ac:dyDescent="0.25">
      <c r="H206" s="10" t="str">
        <f t="shared" si="4"/>
        <v/>
      </c>
    </row>
    <row r="207" spans="8:8" x14ac:dyDescent="0.25">
      <c r="H207" s="10" t="str">
        <f t="shared" si="4"/>
        <v/>
      </c>
    </row>
    <row r="208" spans="8:8" x14ac:dyDescent="0.25">
      <c r="H208" s="10" t="str">
        <f t="shared" si="4"/>
        <v/>
      </c>
    </row>
    <row r="209" spans="8:8" x14ac:dyDescent="0.25">
      <c r="H209" s="10" t="str">
        <f t="shared" si="4"/>
        <v/>
      </c>
    </row>
    <row r="210" spans="8:8" x14ac:dyDescent="0.25">
      <c r="H210" s="10" t="str">
        <f t="shared" si="4"/>
        <v/>
      </c>
    </row>
    <row r="211" spans="8:8" x14ac:dyDescent="0.25">
      <c r="H211" s="10" t="str">
        <f t="shared" si="4"/>
        <v/>
      </c>
    </row>
    <row r="212" spans="8:8" x14ac:dyDescent="0.25">
      <c r="H212" s="10" t="str">
        <f t="shared" si="4"/>
        <v/>
      </c>
    </row>
    <row r="213" spans="8:8" x14ac:dyDescent="0.25">
      <c r="H213" s="10" t="str">
        <f t="shared" si="4"/>
        <v/>
      </c>
    </row>
    <row r="214" spans="8:8" x14ac:dyDescent="0.25">
      <c r="H214" s="10" t="str">
        <f t="shared" si="4"/>
        <v/>
      </c>
    </row>
    <row r="215" spans="8:8" x14ac:dyDescent="0.25">
      <c r="H215" s="10" t="str">
        <f t="shared" si="4"/>
        <v/>
      </c>
    </row>
    <row r="216" spans="8:8" x14ac:dyDescent="0.25">
      <c r="H216" s="10" t="str">
        <f t="shared" si="4"/>
        <v/>
      </c>
    </row>
    <row r="217" spans="8:8" x14ac:dyDescent="0.25">
      <c r="H217" s="10" t="str">
        <f t="shared" si="4"/>
        <v/>
      </c>
    </row>
    <row r="218" spans="8:8" x14ac:dyDescent="0.25">
      <c r="H218" s="10" t="str">
        <f t="shared" si="4"/>
        <v/>
      </c>
    </row>
    <row r="219" spans="8:8" x14ac:dyDescent="0.25">
      <c r="H219" s="10" t="str">
        <f t="shared" si="4"/>
        <v/>
      </c>
    </row>
    <row r="220" spans="8:8" x14ac:dyDescent="0.25">
      <c r="H220" s="10" t="str">
        <f t="shared" si="4"/>
        <v/>
      </c>
    </row>
    <row r="221" spans="8:8" x14ac:dyDescent="0.25">
      <c r="H221" s="10" t="str">
        <f t="shared" si="4"/>
        <v/>
      </c>
    </row>
    <row r="222" spans="8:8" x14ac:dyDescent="0.25">
      <c r="H222" s="10" t="str">
        <f t="shared" si="4"/>
        <v/>
      </c>
    </row>
    <row r="223" spans="8:8" x14ac:dyDescent="0.25">
      <c r="H223" s="10" t="str">
        <f t="shared" si="4"/>
        <v/>
      </c>
    </row>
    <row r="224" spans="8:8" x14ac:dyDescent="0.25">
      <c r="H224" s="10" t="str">
        <f t="shared" si="4"/>
        <v/>
      </c>
    </row>
    <row r="225" spans="8:8" x14ac:dyDescent="0.25">
      <c r="H225" s="10" t="str">
        <f t="shared" si="4"/>
        <v/>
      </c>
    </row>
    <row r="226" spans="8:8" x14ac:dyDescent="0.25">
      <c r="H226" s="10" t="str">
        <f t="shared" si="4"/>
        <v/>
      </c>
    </row>
    <row r="227" spans="8:8" x14ac:dyDescent="0.25">
      <c r="H227" s="10" t="str">
        <f t="shared" si="4"/>
        <v/>
      </c>
    </row>
    <row r="228" spans="8:8" x14ac:dyDescent="0.25">
      <c r="H228" s="10" t="str">
        <f t="shared" si="4"/>
        <v/>
      </c>
    </row>
    <row r="229" spans="8:8" x14ac:dyDescent="0.25">
      <c r="H229" s="10" t="str">
        <f t="shared" si="4"/>
        <v/>
      </c>
    </row>
    <row r="230" spans="8:8" x14ac:dyDescent="0.25">
      <c r="H230" s="10" t="str">
        <f t="shared" si="4"/>
        <v/>
      </c>
    </row>
    <row r="231" spans="8:8" x14ac:dyDescent="0.25">
      <c r="H231" s="10" t="str">
        <f t="shared" si="4"/>
        <v/>
      </c>
    </row>
    <row r="232" spans="8:8" x14ac:dyDescent="0.25">
      <c r="H232" s="10" t="str">
        <f t="shared" si="4"/>
        <v/>
      </c>
    </row>
    <row r="233" spans="8:8" x14ac:dyDescent="0.25">
      <c r="H233" s="10" t="str">
        <f t="shared" si="4"/>
        <v/>
      </c>
    </row>
    <row r="234" spans="8:8" x14ac:dyDescent="0.25">
      <c r="H234" s="10" t="str">
        <f t="shared" si="4"/>
        <v/>
      </c>
    </row>
    <row r="235" spans="8:8" x14ac:dyDescent="0.25">
      <c r="H235" s="10" t="str">
        <f t="shared" si="4"/>
        <v/>
      </c>
    </row>
    <row r="236" spans="8:8" x14ac:dyDescent="0.25">
      <c r="H236" s="10" t="str">
        <f t="shared" si="4"/>
        <v/>
      </c>
    </row>
    <row r="237" spans="8:8" x14ac:dyDescent="0.25">
      <c r="H237" s="10" t="str">
        <f t="shared" si="4"/>
        <v/>
      </c>
    </row>
    <row r="238" spans="8:8" x14ac:dyDescent="0.25">
      <c r="H238" s="10" t="str">
        <f t="shared" si="4"/>
        <v/>
      </c>
    </row>
    <row r="239" spans="8:8" x14ac:dyDescent="0.25">
      <c r="H239" s="10" t="str">
        <f t="shared" si="4"/>
        <v/>
      </c>
    </row>
    <row r="240" spans="8:8" x14ac:dyDescent="0.25">
      <c r="H240" s="10" t="str">
        <f t="shared" si="4"/>
        <v/>
      </c>
    </row>
    <row r="241" spans="8:8" x14ac:dyDescent="0.25">
      <c r="H241" s="10" t="str">
        <f t="shared" si="4"/>
        <v/>
      </c>
    </row>
    <row r="242" spans="8:8" x14ac:dyDescent="0.25">
      <c r="H242" s="10" t="str">
        <f t="shared" si="4"/>
        <v/>
      </c>
    </row>
    <row r="243" spans="8:8" x14ac:dyDescent="0.25">
      <c r="H243" s="10" t="str">
        <f t="shared" si="4"/>
        <v/>
      </c>
    </row>
    <row r="244" spans="8:8" x14ac:dyDescent="0.25">
      <c r="H244" s="10" t="str">
        <f t="shared" si="4"/>
        <v/>
      </c>
    </row>
    <row r="245" spans="8:8" x14ac:dyDescent="0.25">
      <c r="H245" s="10" t="str">
        <f t="shared" si="4"/>
        <v/>
      </c>
    </row>
    <row r="246" spans="8:8" x14ac:dyDescent="0.25">
      <c r="H246" s="10" t="str">
        <f t="shared" si="4"/>
        <v/>
      </c>
    </row>
    <row r="247" spans="8:8" x14ac:dyDescent="0.25">
      <c r="H247" s="10" t="str">
        <f t="shared" si="4"/>
        <v/>
      </c>
    </row>
    <row r="248" spans="8:8" x14ac:dyDescent="0.25">
      <c r="H248" s="10" t="str">
        <f t="shared" si="4"/>
        <v/>
      </c>
    </row>
    <row r="249" spans="8:8" x14ac:dyDescent="0.25">
      <c r="H249" s="10" t="str">
        <f t="shared" si="4"/>
        <v/>
      </c>
    </row>
    <row r="250" spans="8:8" x14ac:dyDescent="0.25">
      <c r="H250" s="10" t="str">
        <f t="shared" si="4"/>
        <v/>
      </c>
    </row>
    <row r="251" spans="8:8" x14ac:dyDescent="0.25">
      <c r="H251" s="10" t="str">
        <f t="shared" si="4"/>
        <v/>
      </c>
    </row>
    <row r="252" spans="8:8" x14ac:dyDescent="0.25">
      <c r="H252" s="10" t="str">
        <f t="shared" si="4"/>
        <v/>
      </c>
    </row>
    <row r="253" spans="8:8" x14ac:dyDescent="0.25">
      <c r="H253" s="10" t="str">
        <f t="shared" si="4"/>
        <v/>
      </c>
    </row>
    <row r="254" spans="8:8" x14ac:dyDescent="0.25">
      <c r="H254" s="10" t="str">
        <f t="shared" si="4"/>
        <v/>
      </c>
    </row>
    <row r="255" spans="8:8" x14ac:dyDescent="0.25">
      <c r="H255" s="10" t="str">
        <f t="shared" si="4"/>
        <v/>
      </c>
    </row>
    <row r="256" spans="8:8" x14ac:dyDescent="0.25">
      <c r="H256" s="10" t="str">
        <f t="shared" si="4"/>
        <v/>
      </c>
    </row>
    <row r="257" spans="8:8" x14ac:dyDescent="0.25">
      <c r="H257" s="10" t="str">
        <f t="shared" si="4"/>
        <v/>
      </c>
    </row>
    <row r="258" spans="8:8" x14ac:dyDescent="0.25">
      <c r="H258" s="10" t="str">
        <f t="shared" si="4"/>
        <v/>
      </c>
    </row>
    <row r="259" spans="8:8" x14ac:dyDescent="0.25">
      <c r="H259" s="10" t="str">
        <f t="shared" si="4"/>
        <v/>
      </c>
    </row>
    <row r="260" spans="8:8" x14ac:dyDescent="0.25">
      <c r="H260" s="10" t="str">
        <f t="shared" ref="H260:H323" si="5">IFERROR(DATEVALUE(C260),"")</f>
        <v/>
      </c>
    </row>
    <row r="261" spans="8:8" x14ac:dyDescent="0.25">
      <c r="H261" s="10" t="str">
        <f t="shared" si="5"/>
        <v/>
      </c>
    </row>
    <row r="262" spans="8:8" x14ac:dyDescent="0.25">
      <c r="H262" s="10" t="str">
        <f t="shared" si="5"/>
        <v/>
      </c>
    </row>
    <row r="263" spans="8:8" x14ac:dyDescent="0.25">
      <c r="H263" s="10" t="str">
        <f t="shared" si="5"/>
        <v/>
      </c>
    </row>
    <row r="264" spans="8:8" x14ac:dyDescent="0.25">
      <c r="H264" s="10" t="str">
        <f t="shared" si="5"/>
        <v/>
      </c>
    </row>
    <row r="265" spans="8:8" x14ac:dyDescent="0.25">
      <c r="H265" s="10" t="str">
        <f t="shared" si="5"/>
        <v/>
      </c>
    </row>
    <row r="266" spans="8:8" x14ac:dyDescent="0.25">
      <c r="H266" s="10" t="str">
        <f t="shared" si="5"/>
        <v/>
      </c>
    </row>
    <row r="267" spans="8:8" x14ac:dyDescent="0.25">
      <c r="H267" s="10" t="str">
        <f t="shared" si="5"/>
        <v/>
      </c>
    </row>
    <row r="268" spans="8:8" x14ac:dyDescent="0.25">
      <c r="H268" s="10" t="str">
        <f t="shared" si="5"/>
        <v/>
      </c>
    </row>
    <row r="269" spans="8:8" x14ac:dyDescent="0.25">
      <c r="H269" s="10" t="str">
        <f t="shared" si="5"/>
        <v/>
      </c>
    </row>
    <row r="270" spans="8:8" x14ac:dyDescent="0.25">
      <c r="H270" s="10" t="str">
        <f t="shared" si="5"/>
        <v/>
      </c>
    </row>
    <row r="271" spans="8:8" x14ac:dyDescent="0.25">
      <c r="H271" s="10" t="str">
        <f t="shared" si="5"/>
        <v/>
      </c>
    </row>
    <row r="272" spans="8:8" x14ac:dyDescent="0.25">
      <c r="H272" s="10" t="str">
        <f t="shared" si="5"/>
        <v/>
      </c>
    </row>
    <row r="273" spans="8:8" x14ac:dyDescent="0.25">
      <c r="H273" s="10" t="str">
        <f t="shared" si="5"/>
        <v/>
      </c>
    </row>
    <row r="274" spans="8:8" x14ac:dyDescent="0.25">
      <c r="H274" s="10" t="str">
        <f t="shared" si="5"/>
        <v/>
      </c>
    </row>
    <row r="275" spans="8:8" x14ac:dyDescent="0.25">
      <c r="H275" s="10" t="str">
        <f t="shared" si="5"/>
        <v/>
      </c>
    </row>
    <row r="276" spans="8:8" x14ac:dyDescent="0.25">
      <c r="H276" s="10" t="str">
        <f t="shared" si="5"/>
        <v/>
      </c>
    </row>
    <row r="277" spans="8:8" x14ac:dyDescent="0.25">
      <c r="H277" s="10" t="str">
        <f t="shared" si="5"/>
        <v/>
      </c>
    </row>
    <row r="278" spans="8:8" x14ac:dyDescent="0.25">
      <c r="H278" s="10" t="str">
        <f t="shared" si="5"/>
        <v/>
      </c>
    </row>
    <row r="279" spans="8:8" x14ac:dyDescent="0.25">
      <c r="H279" s="10" t="str">
        <f t="shared" si="5"/>
        <v/>
      </c>
    </row>
    <row r="280" spans="8:8" x14ac:dyDescent="0.25">
      <c r="H280" s="10" t="str">
        <f t="shared" si="5"/>
        <v/>
      </c>
    </row>
    <row r="281" spans="8:8" x14ac:dyDescent="0.25">
      <c r="H281" s="10" t="str">
        <f t="shared" si="5"/>
        <v/>
      </c>
    </row>
    <row r="282" spans="8:8" x14ac:dyDescent="0.25">
      <c r="H282" s="10" t="str">
        <f t="shared" si="5"/>
        <v/>
      </c>
    </row>
    <row r="283" spans="8:8" x14ac:dyDescent="0.25">
      <c r="H283" s="10" t="str">
        <f t="shared" si="5"/>
        <v/>
      </c>
    </row>
    <row r="284" spans="8:8" x14ac:dyDescent="0.25">
      <c r="H284" s="10" t="str">
        <f t="shared" si="5"/>
        <v/>
      </c>
    </row>
    <row r="285" spans="8:8" x14ac:dyDescent="0.25">
      <c r="H285" s="10" t="str">
        <f t="shared" si="5"/>
        <v/>
      </c>
    </row>
    <row r="286" spans="8:8" x14ac:dyDescent="0.25">
      <c r="H286" s="10" t="str">
        <f t="shared" si="5"/>
        <v/>
      </c>
    </row>
    <row r="287" spans="8:8" x14ac:dyDescent="0.25">
      <c r="H287" s="10" t="str">
        <f t="shared" si="5"/>
        <v/>
      </c>
    </row>
    <row r="288" spans="8:8" x14ac:dyDescent="0.25">
      <c r="H288" s="10" t="str">
        <f t="shared" si="5"/>
        <v/>
      </c>
    </row>
    <row r="289" spans="8:8" x14ac:dyDescent="0.25">
      <c r="H289" s="10" t="str">
        <f t="shared" si="5"/>
        <v/>
      </c>
    </row>
    <row r="290" spans="8:8" x14ac:dyDescent="0.25">
      <c r="H290" s="10" t="str">
        <f t="shared" si="5"/>
        <v/>
      </c>
    </row>
    <row r="291" spans="8:8" x14ac:dyDescent="0.25">
      <c r="H291" s="10" t="str">
        <f t="shared" si="5"/>
        <v/>
      </c>
    </row>
    <row r="292" spans="8:8" x14ac:dyDescent="0.25">
      <c r="H292" s="10" t="str">
        <f t="shared" si="5"/>
        <v/>
      </c>
    </row>
    <row r="293" spans="8:8" x14ac:dyDescent="0.25">
      <c r="H293" s="10" t="str">
        <f t="shared" si="5"/>
        <v/>
      </c>
    </row>
    <row r="294" spans="8:8" x14ac:dyDescent="0.25">
      <c r="H294" s="10" t="str">
        <f t="shared" si="5"/>
        <v/>
      </c>
    </row>
    <row r="295" spans="8:8" x14ac:dyDescent="0.25">
      <c r="H295" s="10" t="str">
        <f t="shared" si="5"/>
        <v/>
      </c>
    </row>
    <row r="296" spans="8:8" x14ac:dyDescent="0.25">
      <c r="H296" s="10" t="str">
        <f t="shared" si="5"/>
        <v/>
      </c>
    </row>
    <row r="297" spans="8:8" x14ac:dyDescent="0.25">
      <c r="H297" s="10" t="str">
        <f t="shared" si="5"/>
        <v/>
      </c>
    </row>
    <row r="298" spans="8:8" x14ac:dyDescent="0.25">
      <c r="H298" s="10" t="str">
        <f t="shared" si="5"/>
        <v/>
      </c>
    </row>
    <row r="299" spans="8:8" x14ac:dyDescent="0.25">
      <c r="H299" s="10" t="str">
        <f t="shared" si="5"/>
        <v/>
      </c>
    </row>
    <row r="300" spans="8:8" x14ac:dyDescent="0.25">
      <c r="H300" s="10" t="str">
        <f t="shared" si="5"/>
        <v/>
      </c>
    </row>
    <row r="301" spans="8:8" x14ac:dyDescent="0.25">
      <c r="H301" s="10" t="str">
        <f t="shared" si="5"/>
        <v/>
      </c>
    </row>
    <row r="302" spans="8:8" x14ac:dyDescent="0.25">
      <c r="H302" s="10" t="str">
        <f t="shared" si="5"/>
        <v/>
      </c>
    </row>
    <row r="303" spans="8:8" x14ac:dyDescent="0.25">
      <c r="H303" s="10" t="str">
        <f t="shared" si="5"/>
        <v/>
      </c>
    </row>
    <row r="304" spans="8:8" x14ac:dyDescent="0.25">
      <c r="H304" s="10" t="str">
        <f t="shared" si="5"/>
        <v/>
      </c>
    </row>
    <row r="305" spans="8:8" x14ac:dyDescent="0.25">
      <c r="H305" s="10" t="str">
        <f t="shared" si="5"/>
        <v/>
      </c>
    </row>
    <row r="306" spans="8:8" x14ac:dyDescent="0.25">
      <c r="H306" s="10" t="str">
        <f t="shared" si="5"/>
        <v/>
      </c>
    </row>
    <row r="307" spans="8:8" x14ac:dyDescent="0.25">
      <c r="H307" s="10" t="str">
        <f t="shared" si="5"/>
        <v/>
      </c>
    </row>
    <row r="308" spans="8:8" x14ac:dyDescent="0.25">
      <c r="H308" s="10" t="str">
        <f t="shared" si="5"/>
        <v/>
      </c>
    </row>
    <row r="309" spans="8:8" x14ac:dyDescent="0.25">
      <c r="H309" s="10" t="str">
        <f t="shared" si="5"/>
        <v/>
      </c>
    </row>
    <row r="310" spans="8:8" x14ac:dyDescent="0.25">
      <c r="H310" s="10" t="str">
        <f t="shared" si="5"/>
        <v/>
      </c>
    </row>
    <row r="311" spans="8:8" x14ac:dyDescent="0.25">
      <c r="H311" s="10" t="str">
        <f t="shared" si="5"/>
        <v/>
      </c>
    </row>
    <row r="312" spans="8:8" x14ac:dyDescent="0.25">
      <c r="H312" s="10" t="str">
        <f t="shared" si="5"/>
        <v/>
      </c>
    </row>
    <row r="313" spans="8:8" x14ac:dyDescent="0.25">
      <c r="H313" s="10" t="str">
        <f t="shared" si="5"/>
        <v/>
      </c>
    </row>
    <row r="314" spans="8:8" x14ac:dyDescent="0.25">
      <c r="H314" s="10" t="str">
        <f t="shared" si="5"/>
        <v/>
      </c>
    </row>
    <row r="315" spans="8:8" x14ac:dyDescent="0.25">
      <c r="H315" s="10" t="str">
        <f t="shared" si="5"/>
        <v/>
      </c>
    </row>
    <row r="316" spans="8:8" x14ac:dyDescent="0.25">
      <c r="H316" s="10" t="str">
        <f t="shared" si="5"/>
        <v/>
      </c>
    </row>
    <row r="317" spans="8:8" x14ac:dyDescent="0.25">
      <c r="H317" s="10" t="str">
        <f t="shared" si="5"/>
        <v/>
      </c>
    </row>
    <row r="318" spans="8:8" x14ac:dyDescent="0.25">
      <c r="H318" s="10" t="str">
        <f t="shared" si="5"/>
        <v/>
      </c>
    </row>
    <row r="319" spans="8:8" x14ac:dyDescent="0.25">
      <c r="H319" s="10" t="str">
        <f t="shared" si="5"/>
        <v/>
      </c>
    </row>
    <row r="320" spans="8:8" x14ac:dyDescent="0.25">
      <c r="H320" s="10" t="str">
        <f t="shared" si="5"/>
        <v/>
      </c>
    </row>
    <row r="321" spans="8:8" x14ac:dyDescent="0.25">
      <c r="H321" s="10" t="str">
        <f t="shared" si="5"/>
        <v/>
      </c>
    </row>
    <row r="322" spans="8:8" x14ac:dyDescent="0.25">
      <c r="H322" s="10" t="str">
        <f t="shared" si="5"/>
        <v/>
      </c>
    </row>
    <row r="323" spans="8:8" x14ac:dyDescent="0.25">
      <c r="H323" s="10" t="str">
        <f t="shared" si="5"/>
        <v/>
      </c>
    </row>
    <row r="324" spans="8:8" x14ac:dyDescent="0.25">
      <c r="H324" s="10" t="str">
        <f t="shared" ref="H324:H387" si="6">IFERROR(DATEVALUE(C324),"")</f>
        <v/>
      </c>
    </row>
    <row r="325" spans="8:8" x14ac:dyDescent="0.25">
      <c r="H325" s="10" t="str">
        <f t="shared" si="6"/>
        <v/>
      </c>
    </row>
    <row r="326" spans="8:8" x14ac:dyDescent="0.25">
      <c r="H326" s="10" t="str">
        <f t="shared" si="6"/>
        <v/>
      </c>
    </row>
    <row r="327" spans="8:8" x14ac:dyDescent="0.25">
      <c r="H327" s="10" t="str">
        <f t="shared" si="6"/>
        <v/>
      </c>
    </row>
    <row r="328" spans="8:8" x14ac:dyDescent="0.25">
      <c r="H328" s="10" t="str">
        <f t="shared" si="6"/>
        <v/>
      </c>
    </row>
    <row r="329" spans="8:8" x14ac:dyDescent="0.25">
      <c r="H329" s="10" t="str">
        <f t="shared" si="6"/>
        <v/>
      </c>
    </row>
    <row r="330" spans="8:8" x14ac:dyDescent="0.25">
      <c r="H330" s="10" t="str">
        <f t="shared" si="6"/>
        <v/>
      </c>
    </row>
    <row r="331" spans="8:8" x14ac:dyDescent="0.25">
      <c r="H331" s="10" t="str">
        <f t="shared" si="6"/>
        <v/>
      </c>
    </row>
    <row r="332" spans="8:8" x14ac:dyDescent="0.25">
      <c r="H332" s="10" t="str">
        <f t="shared" si="6"/>
        <v/>
      </c>
    </row>
    <row r="333" spans="8:8" x14ac:dyDescent="0.25">
      <c r="H333" s="10" t="str">
        <f t="shared" si="6"/>
        <v/>
      </c>
    </row>
    <row r="334" spans="8:8" x14ac:dyDescent="0.25">
      <c r="H334" s="10" t="str">
        <f t="shared" si="6"/>
        <v/>
      </c>
    </row>
    <row r="335" spans="8:8" x14ac:dyDescent="0.25">
      <c r="H335" s="10" t="str">
        <f t="shared" si="6"/>
        <v/>
      </c>
    </row>
    <row r="336" spans="8:8" x14ac:dyDescent="0.25">
      <c r="H336" s="10" t="str">
        <f t="shared" si="6"/>
        <v/>
      </c>
    </row>
    <row r="337" spans="8:8" x14ac:dyDescent="0.25">
      <c r="H337" s="10" t="str">
        <f t="shared" si="6"/>
        <v/>
      </c>
    </row>
    <row r="338" spans="8:8" x14ac:dyDescent="0.25">
      <c r="H338" s="10" t="str">
        <f t="shared" si="6"/>
        <v/>
      </c>
    </row>
    <row r="339" spans="8:8" x14ac:dyDescent="0.25">
      <c r="H339" s="10" t="str">
        <f t="shared" si="6"/>
        <v/>
      </c>
    </row>
    <row r="340" spans="8:8" x14ac:dyDescent="0.25">
      <c r="H340" s="10" t="str">
        <f t="shared" si="6"/>
        <v/>
      </c>
    </row>
    <row r="341" spans="8:8" x14ac:dyDescent="0.25">
      <c r="H341" s="10" t="str">
        <f t="shared" si="6"/>
        <v/>
      </c>
    </row>
    <row r="342" spans="8:8" x14ac:dyDescent="0.25">
      <c r="H342" s="10" t="str">
        <f t="shared" si="6"/>
        <v/>
      </c>
    </row>
    <row r="343" spans="8:8" x14ac:dyDescent="0.25">
      <c r="H343" s="10" t="str">
        <f t="shared" si="6"/>
        <v/>
      </c>
    </row>
    <row r="344" spans="8:8" x14ac:dyDescent="0.25">
      <c r="H344" s="10" t="str">
        <f t="shared" si="6"/>
        <v/>
      </c>
    </row>
    <row r="345" spans="8:8" x14ac:dyDescent="0.25">
      <c r="H345" s="10" t="str">
        <f t="shared" si="6"/>
        <v/>
      </c>
    </row>
    <row r="346" spans="8:8" x14ac:dyDescent="0.25">
      <c r="H346" s="10" t="str">
        <f t="shared" si="6"/>
        <v/>
      </c>
    </row>
    <row r="347" spans="8:8" x14ac:dyDescent="0.25">
      <c r="H347" s="10" t="str">
        <f t="shared" si="6"/>
        <v/>
      </c>
    </row>
    <row r="348" spans="8:8" x14ac:dyDescent="0.25">
      <c r="H348" s="10" t="str">
        <f t="shared" si="6"/>
        <v/>
      </c>
    </row>
    <row r="349" spans="8:8" x14ac:dyDescent="0.25">
      <c r="H349" s="10" t="str">
        <f t="shared" si="6"/>
        <v/>
      </c>
    </row>
    <row r="350" spans="8:8" x14ac:dyDescent="0.25">
      <c r="H350" s="10" t="str">
        <f t="shared" si="6"/>
        <v/>
      </c>
    </row>
    <row r="351" spans="8:8" x14ac:dyDescent="0.25">
      <c r="H351" s="10" t="str">
        <f t="shared" si="6"/>
        <v/>
      </c>
    </row>
    <row r="352" spans="8:8" x14ac:dyDescent="0.25">
      <c r="H352" s="10" t="str">
        <f t="shared" si="6"/>
        <v/>
      </c>
    </row>
    <row r="353" spans="8:8" x14ac:dyDescent="0.25">
      <c r="H353" s="10" t="str">
        <f t="shared" si="6"/>
        <v/>
      </c>
    </row>
    <row r="354" spans="8:8" x14ac:dyDescent="0.25">
      <c r="H354" s="10" t="str">
        <f t="shared" si="6"/>
        <v/>
      </c>
    </row>
    <row r="355" spans="8:8" x14ac:dyDescent="0.25">
      <c r="H355" s="10" t="str">
        <f t="shared" si="6"/>
        <v/>
      </c>
    </row>
    <row r="356" spans="8:8" x14ac:dyDescent="0.25">
      <c r="H356" s="10" t="str">
        <f t="shared" si="6"/>
        <v/>
      </c>
    </row>
    <row r="357" spans="8:8" x14ac:dyDescent="0.25">
      <c r="H357" s="10" t="str">
        <f t="shared" si="6"/>
        <v/>
      </c>
    </row>
    <row r="358" spans="8:8" x14ac:dyDescent="0.25">
      <c r="H358" s="10" t="str">
        <f t="shared" si="6"/>
        <v/>
      </c>
    </row>
    <row r="359" spans="8:8" x14ac:dyDescent="0.25">
      <c r="H359" s="10" t="str">
        <f t="shared" si="6"/>
        <v/>
      </c>
    </row>
    <row r="360" spans="8:8" x14ac:dyDescent="0.25">
      <c r="H360" s="10" t="str">
        <f t="shared" si="6"/>
        <v/>
      </c>
    </row>
    <row r="361" spans="8:8" x14ac:dyDescent="0.25">
      <c r="H361" s="10" t="str">
        <f t="shared" si="6"/>
        <v/>
      </c>
    </row>
    <row r="362" spans="8:8" x14ac:dyDescent="0.25">
      <c r="H362" s="10" t="str">
        <f t="shared" si="6"/>
        <v/>
      </c>
    </row>
    <row r="363" spans="8:8" x14ac:dyDescent="0.25">
      <c r="H363" s="10" t="str">
        <f t="shared" si="6"/>
        <v/>
      </c>
    </row>
    <row r="364" spans="8:8" x14ac:dyDescent="0.25">
      <c r="H364" s="10" t="str">
        <f t="shared" si="6"/>
        <v/>
      </c>
    </row>
    <row r="365" spans="8:8" x14ac:dyDescent="0.25">
      <c r="H365" s="10" t="str">
        <f t="shared" si="6"/>
        <v/>
      </c>
    </row>
    <row r="366" spans="8:8" x14ac:dyDescent="0.25">
      <c r="H366" s="10" t="str">
        <f t="shared" si="6"/>
        <v/>
      </c>
    </row>
    <row r="367" spans="8:8" x14ac:dyDescent="0.25">
      <c r="H367" s="10" t="str">
        <f t="shared" si="6"/>
        <v/>
      </c>
    </row>
    <row r="368" spans="8:8" x14ac:dyDescent="0.25">
      <c r="H368" s="10" t="str">
        <f t="shared" si="6"/>
        <v/>
      </c>
    </row>
    <row r="369" spans="8:8" x14ac:dyDescent="0.25">
      <c r="H369" s="10" t="str">
        <f t="shared" si="6"/>
        <v/>
      </c>
    </row>
    <row r="370" spans="8:8" x14ac:dyDescent="0.25">
      <c r="H370" s="10" t="str">
        <f t="shared" si="6"/>
        <v/>
      </c>
    </row>
    <row r="371" spans="8:8" x14ac:dyDescent="0.25">
      <c r="H371" s="10" t="str">
        <f t="shared" si="6"/>
        <v/>
      </c>
    </row>
    <row r="372" spans="8:8" x14ac:dyDescent="0.25">
      <c r="H372" s="10" t="str">
        <f t="shared" si="6"/>
        <v/>
      </c>
    </row>
    <row r="373" spans="8:8" x14ac:dyDescent="0.25">
      <c r="H373" s="10" t="str">
        <f t="shared" si="6"/>
        <v/>
      </c>
    </row>
    <row r="374" spans="8:8" x14ac:dyDescent="0.25">
      <c r="H374" s="10" t="str">
        <f t="shared" si="6"/>
        <v/>
      </c>
    </row>
    <row r="375" spans="8:8" x14ac:dyDescent="0.25">
      <c r="H375" s="10" t="str">
        <f t="shared" si="6"/>
        <v/>
      </c>
    </row>
    <row r="376" spans="8:8" x14ac:dyDescent="0.25">
      <c r="H376" s="10" t="str">
        <f t="shared" si="6"/>
        <v/>
      </c>
    </row>
    <row r="377" spans="8:8" x14ac:dyDescent="0.25">
      <c r="H377" s="10" t="str">
        <f t="shared" si="6"/>
        <v/>
      </c>
    </row>
    <row r="378" spans="8:8" x14ac:dyDescent="0.25">
      <c r="H378" s="10" t="str">
        <f t="shared" si="6"/>
        <v/>
      </c>
    </row>
    <row r="379" spans="8:8" x14ac:dyDescent="0.25">
      <c r="H379" s="10" t="str">
        <f t="shared" si="6"/>
        <v/>
      </c>
    </row>
    <row r="380" spans="8:8" x14ac:dyDescent="0.25">
      <c r="H380" s="10" t="str">
        <f t="shared" si="6"/>
        <v/>
      </c>
    </row>
    <row r="381" spans="8:8" x14ac:dyDescent="0.25">
      <c r="H381" s="10" t="str">
        <f t="shared" si="6"/>
        <v/>
      </c>
    </row>
    <row r="382" spans="8:8" x14ac:dyDescent="0.25">
      <c r="H382" s="10" t="str">
        <f t="shared" si="6"/>
        <v/>
      </c>
    </row>
    <row r="383" spans="8:8" x14ac:dyDescent="0.25">
      <c r="H383" s="10" t="str">
        <f t="shared" si="6"/>
        <v/>
      </c>
    </row>
    <row r="384" spans="8:8" x14ac:dyDescent="0.25">
      <c r="H384" s="10" t="str">
        <f t="shared" si="6"/>
        <v/>
      </c>
    </row>
    <row r="385" spans="8:8" x14ac:dyDescent="0.25">
      <c r="H385" s="10" t="str">
        <f t="shared" si="6"/>
        <v/>
      </c>
    </row>
    <row r="386" spans="8:8" x14ac:dyDescent="0.25">
      <c r="H386" s="10" t="str">
        <f t="shared" si="6"/>
        <v/>
      </c>
    </row>
    <row r="387" spans="8:8" x14ac:dyDescent="0.25">
      <c r="H387" s="10" t="str">
        <f t="shared" si="6"/>
        <v/>
      </c>
    </row>
    <row r="388" spans="8:8" x14ac:dyDescent="0.25">
      <c r="H388" s="10" t="str">
        <f t="shared" ref="H388:H451" si="7">IFERROR(DATEVALUE(C388),"")</f>
        <v/>
      </c>
    </row>
    <row r="389" spans="8:8" x14ac:dyDescent="0.25">
      <c r="H389" s="10" t="str">
        <f t="shared" si="7"/>
        <v/>
      </c>
    </row>
    <row r="390" spans="8:8" x14ac:dyDescent="0.25">
      <c r="H390" s="10" t="str">
        <f t="shared" si="7"/>
        <v/>
      </c>
    </row>
    <row r="391" spans="8:8" x14ac:dyDescent="0.25">
      <c r="H391" s="10" t="str">
        <f t="shared" si="7"/>
        <v/>
      </c>
    </row>
    <row r="392" spans="8:8" x14ac:dyDescent="0.25">
      <c r="H392" s="10" t="str">
        <f t="shared" si="7"/>
        <v/>
      </c>
    </row>
    <row r="393" spans="8:8" x14ac:dyDescent="0.25">
      <c r="H393" s="10" t="str">
        <f t="shared" si="7"/>
        <v/>
      </c>
    </row>
    <row r="394" spans="8:8" x14ac:dyDescent="0.25">
      <c r="H394" s="10" t="str">
        <f t="shared" si="7"/>
        <v/>
      </c>
    </row>
    <row r="395" spans="8:8" x14ac:dyDescent="0.25">
      <c r="H395" s="10" t="str">
        <f t="shared" si="7"/>
        <v/>
      </c>
    </row>
    <row r="396" spans="8:8" x14ac:dyDescent="0.25">
      <c r="H396" s="10" t="str">
        <f t="shared" si="7"/>
        <v/>
      </c>
    </row>
    <row r="397" spans="8:8" x14ac:dyDescent="0.25">
      <c r="H397" s="10" t="str">
        <f t="shared" si="7"/>
        <v/>
      </c>
    </row>
    <row r="398" spans="8:8" x14ac:dyDescent="0.25">
      <c r="H398" s="10" t="str">
        <f t="shared" si="7"/>
        <v/>
      </c>
    </row>
    <row r="399" spans="8:8" x14ac:dyDescent="0.25">
      <c r="H399" s="10" t="str">
        <f t="shared" si="7"/>
        <v/>
      </c>
    </row>
    <row r="400" spans="8:8" x14ac:dyDescent="0.25">
      <c r="H400" s="10" t="str">
        <f t="shared" si="7"/>
        <v/>
      </c>
    </row>
    <row r="401" spans="8:8" x14ac:dyDescent="0.25">
      <c r="H401" s="10" t="str">
        <f t="shared" si="7"/>
        <v/>
      </c>
    </row>
    <row r="402" spans="8:8" x14ac:dyDescent="0.25">
      <c r="H402" s="10" t="str">
        <f t="shared" si="7"/>
        <v/>
      </c>
    </row>
    <row r="403" spans="8:8" x14ac:dyDescent="0.25">
      <c r="H403" s="10" t="str">
        <f t="shared" si="7"/>
        <v/>
      </c>
    </row>
    <row r="404" spans="8:8" x14ac:dyDescent="0.25">
      <c r="H404" s="10" t="str">
        <f t="shared" si="7"/>
        <v/>
      </c>
    </row>
    <row r="405" spans="8:8" x14ac:dyDescent="0.25">
      <c r="H405" s="10" t="str">
        <f t="shared" si="7"/>
        <v/>
      </c>
    </row>
    <row r="406" spans="8:8" x14ac:dyDescent="0.25">
      <c r="H406" s="10" t="str">
        <f t="shared" si="7"/>
        <v/>
      </c>
    </row>
    <row r="407" spans="8:8" x14ac:dyDescent="0.25">
      <c r="H407" s="10" t="str">
        <f t="shared" si="7"/>
        <v/>
      </c>
    </row>
    <row r="408" spans="8:8" x14ac:dyDescent="0.25">
      <c r="H408" s="10" t="str">
        <f t="shared" si="7"/>
        <v/>
      </c>
    </row>
    <row r="409" spans="8:8" x14ac:dyDescent="0.25">
      <c r="H409" s="10" t="str">
        <f t="shared" si="7"/>
        <v/>
      </c>
    </row>
    <row r="410" spans="8:8" x14ac:dyDescent="0.25">
      <c r="H410" s="10" t="str">
        <f t="shared" si="7"/>
        <v/>
      </c>
    </row>
    <row r="411" spans="8:8" x14ac:dyDescent="0.25">
      <c r="H411" s="10" t="str">
        <f t="shared" si="7"/>
        <v/>
      </c>
    </row>
    <row r="412" spans="8:8" x14ac:dyDescent="0.25">
      <c r="H412" s="10" t="str">
        <f t="shared" si="7"/>
        <v/>
      </c>
    </row>
    <row r="413" spans="8:8" x14ac:dyDescent="0.25">
      <c r="H413" s="10" t="str">
        <f t="shared" si="7"/>
        <v/>
      </c>
    </row>
    <row r="414" spans="8:8" x14ac:dyDescent="0.25">
      <c r="H414" s="10" t="str">
        <f t="shared" si="7"/>
        <v/>
      </c>
    </row>
    <row r="415" spans="8:8" x14ac:dyDescent="0.25">
      <c r="H415" s="10" t="str">
        <f t="shared" si="7"/>
        <v/>
      </c>
    </row>
    <row r="416" spans="8:8" x14ac:dyDescent="0.25">
      <c r="H416" s="10" t="str">
        <f t="shared" si="7"/>
        <v/>
      </c>
    </row>
    <row r="417" spans="8:8" x14ac:dyDescent="0.25">
      <c r="H417" s="10" t="str">
        <f t="shared" si="7"/>
        <v/>
      </c>
    </row>
    <row r="418" spans="8:8" x14ac:dyDescent="0.25">
      <c r="H418" s="10" t="str">
        <f t="shared" si="7"/>
        <v/>
      </c>
    </row>
    <row r="419" spans="8:8" x14ac:dyDescent="0.25">
      <c r="H419" s="10" t="str">
        <f t="shared" si="7"/>
        <v/>
      </c>
    </row>
    <row r="420" spans="8:8" x14ac:dyDescent="0.25">
      <c r="H420" s="10" t="str">
        <f t="shared" si="7"/>
        <v/>
      </c>
    </row>
    <row r="421" spans="8:8" x14ac:dyDescent="0.25">
      <c r="H421" s="10" t="str">
        <f t="shared" si="7"/>
        <v/>
      </c>
    </row>
    <row r="422" spans="8:8" x14ac:dyDescent="0.25">
      <c r="H422" s="10" t="str">
        <f t="shared" si="7"/>
        <v/>
      </c>
    </row>
    <row r="423" spans="8:8" x14ac:dyDescent="0.25">
      <c r="H423" s="10" t="str">
        <f t="shared" si="7"/>
        <v/>
      </c>
    </row>
    <row r="424" spans="8:8" x14ac:dyDescent="0.25">
      <c r="H424" s="10" t="str">
        <f t="shared" si="7"/>
        <v/>
      </c>
    </row>
    <row r="425" spans="8:8" x14ac:dyDescent="0.25">
      <c r="H425" s="10" t="str">
        <f t="shared" si="7"/>
        <v/>
      </c>
    </row>
    <row r="426" spans="8:8" x14ac:dyDescent="0.25">
      <c r="H426" s="10" t="str">
        <f t="shared" si="7"/>
        <v/>
      </c>
    </row>
    <row r="427" spans="8:8" x14ac:dyDescent="0.25">
      <c r="H427" s="10" t="str">
        <f t="shared" si="7"/>
        <v/>
      </c>
    </row>
    <row r="428" spans="8:8" x14ac:dyDescent="0.25">
      <c r="H428" s="10" t="str">
        <f t="shared" si="7"/>
        <v/>
      </c>
    </row>
    <row r="429" spans="8:8" x14ac:dyDescent="0.25">
      <c r="H429" s="10" t="str">
        <f t="shared" si="7"/>
        <v/>
      </c>
    </row>
    <row r="430" spans="8:8" x14ac:dyDescent="0.25">
      <c r="H430" s="10" t="str">
        <f t="shared" si="7"/>
        <v/>
      </c>
    </row>
    <row r="431" spans="8:8" x14ac:dyDescent="0.25">
      <c r="H431" s="10" t="str">
        <f t="shared" si="7"/>
        <v/>
      </c>
    </row>
    <row r="432" spans="8:8" x14ac:dyDescent="0.25">
      <c r="H432" s="10" t="str">
        <f t="shared" si="7"/>
        <v/>
      </c>
    </row>
    <row r="433" spans="8:8" x14ac:dyDescent="0.25">
      <c r="H433" s="10" t="str">
        <f t="shared" si="7"/>
        <v/>
      </c>
    </row>
    <row r="434" spans="8:8" x14ac:dyDescent="0.25">
      <c r="H434" s="10" t="str">
        <f t="shared" si="7"/>
        <v/>
      </c>
    </row>
    <row r="435" spans="8:8" x14ac:dyDescent="0.25">
      <c r="H435" s="10" t="str">
        <f t="shared" si="7"/>
        <v/>
      </c>
    </row>
    <row r="436" spans="8:8" x14ac:dyDescent="0.25">
      <c r="H436" s="10" t="str">
        <f t="shared" si="7"/>
        <v/>
      </c>
    </row>
    <row r="437" spans="8:8" x14ac:dyDescent="0.25">
      <c r="H437" s="10" t="str">
        <f t="shared" si="7"/>
        <v/>
      </c>
    </row>
    <row r="438" spans="8:8" x14ac:dyDescent="0.25">
      <c r="H438" s="10" t="str">
        <f t="shared" si="7"/>
        <v/>
      </c>
    </row>
    <row r="439" spans="8:8" x14ac:dyDescent="0.25">
      <c r="H439" s="10" t="str">
        <f t="shared" si="7"/>
        <v/>
      </c>
    </row>
    <row r="440" spans="8:8" x14ac:dyDescent="0.25">
      <c r="H440" s="10" t="str">
        <f t="shared" si="7"/>
        <v/>
      </c>
    </row>
    <row r="441" spans="8:8" x14ac:dyDescent="0.25">
      <c r="H441" s="10" t="str">
        <f t="shared" si="7"/>
        <v/>
      </c>
    </row>
    <row r="442" spans="8:8" x14ac:dyDescent="0.25">
      <c r="H442" s="10" t="str">
        <f t="shared" si="7"/>
        <v/>
      </c>
    </row>
    <row r="443" spans="8:8" x14ac:dyDescent="0.25">
      <c r="H443" s="10" t="str">
        <f t="shared" si="7"/>
        <v/>
      </c>
    </row>
    <row r="444" spans="8:8" x14ac:dyDescent="0.25">
      <c r="H444" s="10" t="str">
        <f t="shared" si="7"/>
        <v/>
      </c>
    </row>
    <row r="445" spans="8:8" x14ac:dyDescent="0.25">
      <c r="H445" s="10" t="str">
        <f t="shared" si="7"/>
        <v/>
      </c>
    </row>
    <row r="446" spans="8:8" x14ac:dyDescent="0.25">
      <c r="H446" s="10" t="str">
        <f t="shared" si="7"/>
        <v/>
      </c>
    </row>
    <row r="447" spans="8:8" x14ac:dyDescent="0.25">
      <c r="H447" s="10" t="str">
        <f t="shared" si="7"/>
        <v/>
      </c>
    </row>
    <row r="448" spans="8:8" x14ac:dyDescent="0.25">
      <c r="H448" s="10" t="str">
        <f t="shared" si="7"/>
        <v/>
      </c>
    </row>
    <row r="449" spans="8:8" x14ac:dyDescent="0.25">
      <c r="H449" s="10" t="str">
        <f t="shared" si="7"/>
        <v/>
      </c>
    </row>
    <row r="450" spans="8:8" x14ac:dyDescent="0.25">
      <c r="H450" s="10" t="str">
        <f t="shared" si="7"/>
        <v/>
      </c>
    </row>
    <row r="451" spans="8:8" x14ac:dyDescent="0.25">
      <c r="H451" s="10" t="str">
        <f t="shared" si="7"/>
        <v/>
      </c>
    </row>
    <row r="452" spans="8:8" x14ac:dyDescent="0.25">
      <c r="H452" s="10" t="str">
        <f t="shared" ref="H452:H515" si="8">IFERROR(DATEVALUE(C452),"")</f>
        <v/>
      </c>
    </row>
    <row r="453" spans="8:8" x14ac:dyDescent="0.25">
      <c r="H453" s="10" t="str">
        <f t="shared" si="8"/>
        <v/>
      </c>
    </row>
    <row r="454" spans="8:8" x14ac:dyDescent="0.25">
      <c r="H454" s="10" t="str">
        <f t="shared" si="8"/>
        <v/>
      </c>
    </row>
    <row r="455" spans="8:8" x14ac:dyDescent="0.25">
      <c r="H455" s="10" t="str">
        <f t="shared" si="8"/>
        <v/>
      </c>
    </row>
    <row r="456" spans="8:8" x14ac:dyDescent="0.25">
      <c r="H456" s="10" t="str">
        <f t="shared" si="8"/>
        <v/>
      </c>
    </row>
    <row r="457" spans="8:8" x14ac:dyDescent="0.25">
      <c r="H457" s="10" t="str">
        <f t="shared" si="8"/>
        <v/>
      </c>
    </row>
    <row r="458" spans="8:8" x14ac:dyDescent="0.25">
      <c r="H458" s="10" t="str">
        <f t="shared" si="8"/>
        <v/>
      </c>
    </row>
    <row r="459" spans="8:8" x14ac:dyDescent="0.25">
      <c r="H459" s="10" t="str">
        <f t="shared" si="8"/>
        <v/>
      </c>
    </row>
    <row r="460" spans="8:8" x14ac:dyDescent="0.25">
      <c r="H460" s="10" t="str">
        <f t="shared" si="8"/>
        <v/>
      </c>
    </row>
    <row r="461" spans="8:8" x14ac:dyDescent="0.25">
      <c r="H461" s="10" t="str">
        <f t="shared" si="8"/>
        <v/>
      </c>
    </row>
    <row r="462" spans="8:8" x14ac:dyDescent="0.25">
      <c r="H462" s="10" t="str">
        <f t="shared" si="8"/>
        <v/>
      </c>
    </row>
    <row r="463" spans="8:8" x14ac:dyDescent="0.25">
      <c r="H463" s="10" t="str">
        <f t="shared" si="8"/>
        <v/>
      </c>
    </row>
    <row r="464" spans="8:8" x14ac:dyDescent="0.25">
      <c r="H464" s="10" t="str">
        <f t="shared" si="8"/>
        <v/>
      </c>
    </row>
    <row r="465" spans="8:8" x14ac:dyDescent="0.25">
      <c r="H465" s="10" t="str">
        <f t="shared" si="8"/>
        <v/>
      </c>
    </row>
    <row r="466" spans="8:8" x14ac:dyDescent="0.25">
      <c r="H466" s="10" t="str">
        <f t="shared" si="8"/>
        <v/>
      </c>
    </row>
    <row r="467" spans="8:8" x14ac:dyDescent="0.25">
      <c r="H467" s="10" t="str">
        <f t="shared" si="8"/>
        <v/>
      </c>
    </row>
    <row r="468" spans="8:8" x14ac:dyDescent="0.25">
      <c r="H468" s="10" t="str">
        <f t="shared" si="8"/>
        <v/>
      </c>
    </row>
    <row r="469" spans="8:8" x14ac:dyDescent="0.25">
      <c r="H469" s="10" t="str">
        <f t="shared" si="8"/>
        <v/>
      </c>
    </row>
    <row r="470" spans="8:8" x14ac:dyDescent="0.25">
      <c r="H470" s="10" t="str">
        <f t="shared" si="8"/>
        <v/>
      </c>
    </row>
    <row r="471" spans="8:8" x14ac:dyDescent="0.25">
      <c r="H471" s="10" t="str">
        <f t="shared" si="8"/>
        <v/>
      </c>
    </row>
    <row r="472" spans="8:8" x14ac:dyDescent="0.25">
      <c r="H472" s="10" t="str">
        <f t="shared" si="8"/>
        <v/>
      </c>
    </row>
    <row r="473" spans="8:8" x14ac:dyDescent="0.25">
      <c r="H473" s="10" t="str">
        <f t="shared" si="8"/>
        <v/>
      </c>
    </row>
    <row r="474" spans="8:8" x14ac:dyDescent="0.25">
      <c r="H474" s="10" t="str">
        <f t="shared" si="8"/>
        <v/>
      </c>
    </row>
    <row r="475" spans="8:8" x14ac:dyDescent="0.25">
      <c r="H475" s="10" t="str">
        <f t="shared" si="8"/>
        <v/>
      </c>
    </row>
    <row r="476" spans="8:8" x14ac:dyDescent="0.25">
      <c r="H476" s="10" t="str">
        <f t="shared" si="8"/>
        <v/>
      </c>
    </row>
    <row r="477" spans="8:8" x14ac:dyDescent="0.25">
      <c r="H477" s="10" t="str">
        <f t="shared" si="8"/>
        <v/>
      </c>
    </row>
    <row r="478" spans="8:8" x14ac:dyDescent="0.25">
      <c r="H478" s="10" t="str">
        <f t="shared" si="8"/>
        <v/>
      </c>
    </row>
    <row r="479" spans="8:8" x14ac:dyDescent="0.25">
      <c r="H479" s="10" t="str">
        <f t="shared" si="8"/>
        <v/>
      </c>
    </row>
    <row r="480" spans="8:8" x14ac:dyDescent="0.25">
      <c r="H480" s="10" t="str">
        <f t="shared" si="8"/>
        <v/>
      </c>
    </row>
    <row r="481" spans="8:8" x14ac:dyDescent="0.25">
      <c r="H481" s="10" t="str">
        <f t="shared" si="8"/>
        <v/>
      </c>
    </row>
    <row r="482" spans="8:8" x14ac:dyDescent="0.25">
      <c r="H482" s="10" t="str">
        <f t="shared" si="8"/>
        <v/>
      </c>
    </row>
    <row r="483" spans="8:8" x14ac:dyDescent="0.25">
      <c r="H483" s="10" t="str">
        <f t="shared" si="8"/>
        <v/>
      </c>
    </row>
    <row r="484" spans="8:8" x14ac:dyDescent="0.25">
      <c r="H484" s="10" t="str">
        <f t="shared" si="8"/>
        <v/>
      </c>
    </row>
    <row r="485" spans="8:8" x14ac:dyDescent="0.25">
      <c r="H485" s="10" t="str">
        <f t="shared" si="8"/>
        <v/>
      </c>
    </row>
    <row r="486" spans="8:8" x14ac:dyDescent="0.25">
      <c r="H486" s="10" t="str">
        <f t="shared" si="8"/>
        <v/>
      </c>
    </row>
    <row r="487" spans="8:8" x14ac:dyDescent="0.25">
      <c r="H487" s="10" t="str">
        <f t="shared" si="8"/>
        <v/>
      </c>
    </row>
    <row r="488" spans="8:8" x14ac:dyDescent="0.25">
      <c r="H488" s="10" t="str">
        <f t="shared" si="8"/>
        <v/>
      </c>
    </row>
    <row r="489" spans="8:8" x14ac:dyDescent="0.25">
      <c r="H489" s="10" t="str">
        <f t="shared" si="8"/>
        <v/>
      </c>
    </row>
    <row r="490" spans="8:8" x14ac:dyDescent="0.25">
      <c r="H490" s="10" t="str">
        <f t="shared" si="8"/>
        <v/>
      </c>
    </row>
    <row r="491" spans="8:8" x14ac:dyDescent="0.25">
      <c r="H491" s="10" t="str">
        <f t="shared" si="8"/>
        <v/>
      </c>
    </row>
    <row r="492" spans="8:8" x14ac:dyDescent="0.25">
      <c r="H492" s="10" t="str">
        <f t="shared" si="8"/>
        <v/>
      </c>
    </row>
    <row r="493" spans="8:8" x14ac:dyDescent="0.25">
      <c r="H493" s="10" t="str">
        <f t="shared" si="8"/>
        <v/>
      </c>
    </row>
    <row r="494" spans="8:8" x14ac:dyDescent="0.25">
      <c r="H494" s="10" t="str">
        <f t="shared" si="8"/>
        <v/>
      </c>
    </row>
    <row r="495" spans="8:8" x14ac:dyDescent="0.25">
      <c r="H495" s="10" t="str">
        <f t="shared" si="8"/>
        <v/>
      </c>
    </row>
    <row r="496" spans="8:8" x14ac:dyDescent="0.25">
      <c r="H496" s="10" t="str">
        <f t="shared" si="8"/>
        <v/>
      </c>
    </row>
    <row r="497" spans="8:8" x14ac:dyDescent="0.25">
      <c r="H497" s="10" t="str">
        <f t="shared" si="8"/>
        <v/>
      </c>
    </row>
    <row r="498" spans="8:8" x14ac:dyDescent="0.25">
      <c r="H498" s="10" t="str">
        <f t="shared" si="8"/>
        <v/>
      </c>
    </row>
    <row r="499" spans="8:8" x14ac:dyDescent="0.25">
      <c r="H499" s="10" t="str">
        <f t="shared" si="8"/>
        <v/>
      </c>
    </row>
    <row r="500" spans="8:8" x14ac:dyDescent="0.25">
      <c r="H500" s="10" t="str">
        <f t="shared" si="8"/>
        <v/>
      </c>
    </row>
    <row r="501" spans="8:8" x14ac:dyDescent="0.25">
      <c r="H501" s="10" t="str">
        <f t="shared" si="8"/>
        <v/>
      </c>
    </row>
    <row r="502" spans="8:8" x14ac:dyDescent="0.25">
      <c r="H502" s="10" t="str">
        <f t="shared" si="8"/>
        <v/>
      </c>
    </row>
    <row r="503" spans="8:8" x14ac:dyDescent="0.25">
      <c r="H503" s="10" t="str">
        <f t="shared" si="8"/>
        <v/>
      </c>
    </row>
    <row r="504" spans="8:8" x14ac:dyDescent="0.25">
      <c r="H504" s="10" t="str">
        <f t="shared" si="8"/>
        <v/>
      </c>
    </row>
    <row r="505" spans="8:8" x14ac:dyDescent="0.25">
      <c r="H505" s="10" t="str">
        <f t="shared" si="8"/>
        <v/>
      </c>
    </row>
    <row r="506" spans="8:8" x14ac:dyDescent="0.25">
      <c r="H506" s="10" t="str">
        <f t="shared" si="8"/>
        <v/>
      </c>
    </row>
    <row r="507" spans="8:8" x14ac:dyDescent="0.25">
      <c r="H507" s="10" t="str">
        <f t="shared" si="8"/>
        <v/>
      </c>
    </row>
    <row r="508" spans="8:8" x14ac:dyDescent="0.25">
      <c r="H508" s="10" t="str">
        <f t="shared" si="8"/>
        <v/>
      </c>
    </row>
    <row r="509" spans="8:8" x14ac:dyDescent="0.25">
      <c r="H509" s="10" t="str">
        <f t="shared" si="8"/>
        <v/>
      </c>
    </row>
    <row r="510" spans="8:8" x14ac:dyDescent="0.25">
      <c r="H510" s="10" t="str">
        <f t="shared" si="8"/>
        <v/>
      </c>
    </row>
    <row r="511" spans="8:8" x14ac:dyDescent="0.25">
      <c r="H511" s="10" t="str">
        <f t="shared" si="8"/>
        <v/>
      </c>
    </row>
    <row r="512" spans="8:8" x14ac:dyDescent="0.25">
      <c r="H512" s="10" t="str">
        <f t="shared" si="8"/>
        <v/>
      </c>
    </row>
    <row r="513" spans="8:8" x14ac:dyDescent="0.25">
      <c r="H513" s="10" t="str">
        <f t="shared" si="8"/>
        <v/>
      </c>
    </row>
    <row r="514" spans="8:8" x14ac:dyDescent="0.25">
      <c r="H514" s="10" t="str">
        <f t="shared" si="8"/>
        <v/>
      </c>
    </row>
    <row r="515" spans="8:8" x14ac:dyDescent="0.25">
      <c r="H515" s="10" t="str">
        <f t="shared" si="8"/>
        <v/>
      </c>
    </row>
    <row r="516" spans="8:8" x14ac:dyDescent="0.25">
      <c r="H516" s="10" t="str">
        <f t="shared" ref="H516:H579" si="9">IFERROR(DATEVALUE(C516),"")</f>
        <v/>
      </c>
    </row>
    <row r="517" spans="8:8" x14ac:dyDescent="0.25">
      <c r="H517" s="10" t="str">
        <f t="shared" si="9"/>
        <v/>
      </c>
    </row>
    <row r="518" spans="8:8" x14ac:dyDescent="0.25">
      <c r="H518" s="10" t="str">
        <f t="shared" si="9"/>
        <v/>
      </c>
    </row>
    <row r="519" spans="8:8" x14ac:dyDescent="0.25">
      <c r="H519" s="10" t="str">
        <f t="shared" si="9"/>
        <v/>
      </c>
    </row>
    <row r="520" spans="8:8" x14ac:dyDescent="0.25">
      <c r="H520" s="10" t="str">
        <f t="shared" si="9"/>
        <v/>
      </c>
    </row>
    <row r="521" spans="8:8" x14ac:dyDescent="0.25">
      <c r="H521" s="10" t="str">
        <f t="shared" si="9"/>
        <v/>
      </c>
    </row>
    <row r="522" spans="8:8" x14ac:dyDescent="0.25">
      <c r="H522" s="10" t="str">
        <f t="shared" si="9"/>
        <v/>
      </c>
    </row>
    <row r="523" spans="8:8" x14ac:dyDescent="0.25">
      <c r="H523" s="10" t="str">
        <f t="shared" si="9"/>
        <v/>
      </c>
    </row>
    <row r="524" spans="8:8" x14ac:dyDescent="0.25">
      <c r="H524" s="10" t="str">
        <f t="shared" si="9"/>
        <v/>
      </c>
    </row>
    <row r="525" spans="8:8" x14ac:dyDescent="0.25">
      <c r="H525" s="10" t="str">
        <f t="shared" si="9"/>
        <v/>
      </c>
    </row>
    <row r="526" spans="8:8" x14ac:dyDescent="0.25">
      <c r="H526" s="10" t="str">
        <f t="shared" si="9"/>
        <v/>
      </c>
    </row>
    <row r="527" spans="8:8" x14ac:dyDescent="0.25">
      <c r="H527" s="10" t="str">
        <f t="shared" si="9"/>
        <v/>
      </c>
    </row>
    <row r="528" spans="8:8" x14ac:dyDescent="0.25">
      <c r="H528" s="10" t="str">
        <f t="shared" si="9"/>
        <v/>
      </c>
    </row>
    <row r="529" spans="8:8" x14ac:dyDescent="0.25">
      <c r="H529" s="10" t="str">
        <f t="shared" si="9"/>
        <v/>
      </c>
    </row>
    <row r="530" spans="8:8" x14ac:dyDescent="0.25">
      <c r="H530" s="10" t="str">
        <f t="shared" si="9"/>
        <v/>
      </c>
    </row>
    <row r="531" spans="8:8" x14ac:dyDescent="0.25">
      <c r="H531" s="10" t="str">
        <f t="shared" si="9"/>
        <v/>
      </c>
    </row>
    <row r="532" spans="8:8" x14ac:dyDescent="0.25">
      <c r="H532" s="10" t="str">
        <f t="shared" si="9"/>
        <v/>
      </c>
    </row>
    <row r="533" spans="8:8" x14ac:dyDescent="0.25">
      <c r="H533" s="10" t="str">
        <f t="shared" si="9"/>
        <v/>
      </c>
    </row>
    <row r="534" spans="8:8" x14ac:dyDescent="0.25">
      <c r="H534" s="10" t="str">
        <f t="shared" si="9"/>
        <v/>
      </c>
    </row>
    <row r="535" spans="8:8" x14ac:dyDescent="0.25">
      <c r="H535" s="10" t="str">
        <f t="shared" si="9"/>
        <v/>
      </c>
    </row>
    <row r="536" spans="8:8" x14ac:dyDescent="0.25">
      <c r="H536" s="10" t="str">
        <f t="shared" si="9"/>
        <v/>
      </c>
    </row>
    <row r="537" spans="8:8" x14ac:dyDescent="0.25">
      <c r="H537" s="10" t="str">
        <f t="shared" si="9"/>
        <v/>
      </c>
    </row>
    <row r="538" spans="8:8" x14ac:dyDescent="0.25">
      <c r="H538" s="10" t="str">
        <f t="shared" si="9"/>
        <v/>
      </c>
    </row>
    <row r="539" spans="8:8" x14ac:dyDescent="0.25">
      <c r="H539" s="10" t="str">
        <f t="shared" si="9"/>
        <v/>
      </c>
    </row>
    <row r="540" spans="8:8" x14ac:dyDescent="0.25">
      <c r="H540" s="10" t="str">
        <f t="shared" si="9"/>
        <v/>
      </c>
    </row>
    <row r="541" spans="8:8" x14ac:dyDescent="0.25">
      <c r="H541" s="10" t="str">
        <f t="shared" si="9"/>
        <v/>
      </c>
    </row>
    <row r="542" spans="8:8" x14ac:dyDescent="0.25">
      <c r="H542" s="10" t="str">
        <f t="shared" si="9"/>
        <v/>
      </c>
    </row>
    <row r="543" spans="8:8" x14ac:dyDescent="0.25">
      <c r="H543" s="10" t="str">
        <f t="shared" si="9"/>
        <v/>
      </c>
    </row>
    <row r="544" spans="8:8" x14ac:dyDescent="0.25">
      <c r="H544" s="10" t="str">
        <f t="shared" si="9"/>
        <v/>
      </c>
    </row>
    <row r="545" spans="8:8" x14ac:dyDescent="0.25">
      <c r="H545" s="10" t="str">
        <f t="shared" si="9"/>
        <v/>
      </c>
    </row>
    <row r="546" spans="8:8" x14ac:dyDescent="0.25">
      <c r="H546" s="10" t="str">
        <f t="shared" si="9"/>
        <v/>
      </c>
    </row>
    <row r="547" spans="8:8" x14ac:dyDescent="0.25">
      <c r="H547" s="10" t="str">
        <f t="shared" si="9"/>
        <v/>
      </c>
    </row>
    <row r="548" spans="8:8" x14ac:dyDescent="0.25">
      <c r="H548" s="10" t="str">
        <f t="shared" si="9"/>
        <v/>
      </c>
    </row>
    <row r="549" spans="8:8" x14ac:dyDescent="0.25">
      <c r="H549" s="10" t="str">
        <f t="shared" si="9"/>
        <v/>
      </c>
    </row>
    <row r="550" spans="8:8" x14ac:dyDescent="0.25">
      <c r="H550" s="10" t="str">
        <f t="shared" si="9"/>
        <v/>
      </c>
    </row>
    <row r="551" spans="8:8" x14ac:dyDescent="0.25">
      <c r="H551" s="10" t="str">
        <f t="shared" si="9"/>
        <v/>
      </c>
    </row>
    <row r="552" spans="8:8" x14ac:dyDescent="0.25">
      <c r="H552" s="10" t="str">
        <f t="shared" si="9"/>
        <v/>
      </c>
    </row>
    <row r="553" spans="8:8" x14ac:dyDescent="0.25">
      <c r="H553" s="10" t="str">
        <f t="shared" si="9"/>
        <v/>
      </c>
    </row>
    <row r="554" spans="8:8" x14ac:dyDescent="0.25">
      <c r="H554" s="10" t="str">
        <f t="shared" si="9"/>
        <v/>
      </c>
    </row>
    <row r="555" spans="8:8" x14ac:dyDescent="0.25">
      <c r="H555" s="10" t="str">
        <f t="shared" si="9"/>
        <v/>
      </c>
    </row>
    <row r="556" spans="8:8" x14ac:dyDescent="0.25">
      <c r="H556" s="10" t="str">
        <f t="shared" si="9"/>
        <v/>
      </c>
    </row>
    <row r="557" spans="8:8" x14ac:dyDescent="0.25">
      <c r="H557" s="10" t="str">
        <f t="shared" si="9"/>
        <v/>
      </c>
    </row>
    <row r="558" spans="8:8" x14ac:dyDescent="0.25">
      <c r="H558" s="10" t="str">
        <f t="shared" si="9"/>
        <v/>
      </c>
    </row>
    <row r="559" spans="8:8" x14ac:dyDescent="0.25">
      <c r="H559" s="10" t="str">
        <f t="shared" si="9"/>
        <v/>
      </c>
    </row>
    <row r="560" spans="8:8" x14ac:dyDescent="0.25">
      <c r="H560" s="10" t="str">
        <f t="shared" si="9"/>
        <v/>
      </c>
    </row>
    <row r="561" spans="8:8" x14ac:dyDescent="0.25">
      <c r="H561" s="10" t="str">
        <f t="shared" si="9"/>
        <v/>
      </c>
    </row>
    <row r="562" spans="8:8" x14ac:dyDescent="0.25">
      <c r="H562" s="10" t="str">
        <f t="shared" si="9"/>
        <v/>
      </c>
    </row>
    <row r="563" spans="8:8" x14ac:dyDescent="0.25">
      <c r="H563" s="10" t="str">
        <f t="shared" si="9"/>
        <v/>
      </c>
    </row>
    <row r="564" spans="8:8" x14ac:dyDescent="0.25">
      <c r="H564" s="10" t="str">
        <f t="shared" si="9"/>
        <v/>
      </c>
    </row>
    <row r="565" spans="8:8" x14ac:dyDescent="0.25">
      <c r="H565" s="10" t="str">
        <f t="shared" si="9"/>
        <v/>
      </c>
    </row>
    <row r="566" spans="8:8" x14ac:dyDescent="0.25">
      <c r="H566" s="10" t="str">
        <f t="shared" si="9"/>
        <v/>
      </c>
    </row>
    <row r="567" spans="8:8" x14ac:dyDescent="0.25">
      <c r="H567" s="10" t="str">
        <f t="shared" si="9"/>
        <v/>
      </c>
    </row>
    <row r="568" spans="8:8" x14ac:dyDescent="0.25">
      <c r="H568" s="10" t="str">
        <f t="shared" si="9"/>
        <v/>
      </c>
    </row>
    <row r="569" spans="8:8" x14ac:dyDescent="0.25">
      <c r="H569" s="10" t="str">
        <f t="shared" si="9"/>
        <v/>
      </c>
    </row>
    <row r="570" spans="8:8" x14ac:dyDescent="0.25">
      <c r="H570" s="10" t="str">
        <f t="shared" si="9"/>
        <v/>
      </c>
    </row>
    <row r="571" spans="8:8" x14ac:dyDescent="0.25">
      <c r="H571" s="10" t="str">
        <f t="shared" si="9"/>
        <v/>
      </c>
    </row>
    <row r="572" spans="8:8" x14ac:dyDescent="0.25">
      <c r="H572" s="10" t="str">
        <f t="shared" si="9"/>
        <v/>
      </c>
    </row>
    <row r="573" spans="8:8" x14ac:dyDescent="0.25">
      <c r="H573" s="10" t="str">
        <f t="shared" si="9"/>
        <v/>
      </c>
    </row>
    <row r="574" spans="8:8" x14ac:dyDescent="0.25">
      <c r="H574" s="10" t="str">
        <f t="shared" si="9"/>
        <v/>
      </c>
    </row>
    <row r="575" spans="8:8" x14ac:dyDescent="0.25">
      <c r="H575" s="10" t="str">
        <f t="shared" si="9"/>
        <v/>
      </c>
    </row>
    <row r="576" spans="8:8" x14ac:dyDescent="0.25">
      <c r="H576" s="10" t="str">
        <f t="shared" si="9"/>
        <v/>
      </c>
    </row>
    <row r="577" spans="8:8" x14ac:dyDescent="0.25">
      <c r="H577" s="10" t="str">
        <f t="shared" si="9"/>
        <v/>
      </c>
    </row>
    <row r="578" spans="8:8" x14ac:dyDescent="0.25">
      <c r="H578" s="10" t="str">
        <f t="shared" si="9"/>
        <v/>
      </c>
    </row>
    <row r="579" spans="8:8" x14ac:dyDescent="0.25">
      <c r="H579" s="10" t="str">
        <f t="shared" si="9"/>
        <v/>
      </c>
    </row>
    <row r="580" spans="8:8" x14ac:dyDescent="0.25">
      <c r="H580" s="10" t="str">
        <f t="shared" ref="H580:H643" si="10">IFERROR(DATEVALUE(C580),"")</f>
        <v/>
      </c>
    </row>
    <row r="581" spans="8:8" x14ac:dyDescent="0.25">
      <c r="H581" s="10" t="str">
        <f t="shared" si="10"/>
        <v/>
      </c>
    </row>
    <row r="582" spans="8:8" x14ac:dyDescent="0.25">
      <c r="H582" s="10" t="str">
        <f t="shared" si="10"/>
        <v/>
      </c>
    </row>
    <row r="583" spans="8:8" x14ac:dyDescent="0.25">
      <c r="H583" s="10" t="str">
        <f t="shared" si="10"/>
        <v/>
      </c>
    </row>
    <row r="584" spans="8:8" x14ac:dyDescent="0.25">
      <c r="H584" s="10" t="str">
        <f t="shared" si="10"/>
        <v/>
      </c>
    </row>
    <row r="585" spans="8:8" x14ac:dyDescent="0.25">
      <c r="H585" s="10" t="str">
        <f t="shared" si="10"/>
        <v/>
      </c>
    </row>
    <row r="586" spans="8:8" x14ac:dyDescent="0.25">
      <c r="H586" s="10" t="str">
        <f t="shared" si="10"/>
        <v/>
      </c>
    </row>
    <row r="587" spans="8:8" x14ac:dyDescent="0.25">
      <c r="H587" s="10" t="str">
        <f t="shared" si="10"/>
        <v/>
      </c>
    </row>
    <row r="588" spans="8:8" x14ac:dyDescent="0.25">
      <c r="H588" s="10" t="str">
        <f t="shared" si="10"/>
        <v/>
      </c>
    </row>
    <row r="589" spans="8:8" x14ac:dyDescent="0.25">
      <c r="H589" s="10" t="str">
        <f t="shared" si="10"/>
        <v/>
      </c>
    </row>
    <row r="590" spans="8:8" x14ac:dyDescent="0.25">
      <c r="H590" s="10" t="str">
        <f t="shared" si="10"/>
        <v/>
      </c>
    </row>
    <row r="591" spans="8:8" x14ac:dyDescent="0.25">
      <c r="H591" s="10" t="str">
        <f t="shared" si="10"/>
        <v/>
      </c>
    </row>
    <row r="592" spans="8:8" x14ac:dyDescent="0.25">
      <c r="H592" s="10" t="str">
        <f t="shared" si="10"/>
        <v/>
      </c>
    </row>
    <row r="593" spans="8:8" x14ac:dyDescent="0.25">
      <c r="H593" s="10" t="str">
        <f t="shared" si="10"/>
        <v/>
      </c>
    </row>
    <row r="594" spans="8:8" x14ac:dyDescent="0.25">
      <c r="H594" s="10" t="str">
        <f t="shared" si="10"/>
        <v/>
      </c>
    </row>
    <row r="595" spans="8:8" x14ac:dyDescent="0.25">
      <c r="H595" s="10" t="str">
        <f t="shared" si="10"/>
        <v/>
      </c>
    </row>
    <row r="596" spans="8:8" x14ac:dyDescent="0.25">
      <c r="H596" s="10" t="str">
        <f t="shared" si="10"/>
        <v/>
      </c>
    </row>
    <row r="597" spans="8:8" x14ac:dyDescent="0.25">
      <c r="H597" s="10" t="str">
        <f t="shared" si="10"/>
        <v/>
      </c>
    </row>
    <row r="598" spans="8:8" x14ac:dyDescent="0.25">
      <c r="H598" s="10" t="str">
        <f t="shared" si="10"/>
        <v/>
      </c>
    </row>
    <row r="599" spans="8:8" x14ac:dyDescent="0.25">
      <c r="H599" s="10" t="str">
        <f t="shared" si="10"/>
        <v/>
      </c>
    </row>
    <row r="600" spans="8:8" x14ac:dyDescent="0.25">
      <c r="H600" s="10" t="str">
        <f t="shared" si="10"/>
        <v/>
      </c>
    </row>
    <row r="601" spans="8:8" x14ac:dyDescent="0.25">
      <c r="H601" s="10" t="str">
        <f t="shared" si="10"/>
        <v/>
      </c>
    </row>
    <row r="602" spans="8:8" x14ac:dyDescent="0.25">
      <c r="H602" s="10" t="str">
        <f t="shared" si="10"/>
        <v/>
      </c>
    </row>
    <row r="603" spans="8:8" x14ac:dyDescent="0.25">
      <c r="H603" s="10" t="str">
        <f t="shared" si="10"/>
        <v/>
      </c>
    </row>
    <row r="604" spans="8:8" x14ac:dyDescent="0.25">
      <c r="H604" s="10" t="str">
        <f t="shared" si="10"/>
        <v/>
      </c>
    </row>
    <row r="605" spans="8:8" x14ac:dyDescent="0.25">
      <c r="H605" s="10" t="str">
        <f t="shared" si="10"/>
        <v/>
      </c>
    </row>
    <row r="606" spans="8:8" x14ac:dyDescent="0.25">
      <c r="H606" s="10" t="str">
        <f t="shared" si="10"/>
        <v/>
      </c>
    </row>
    <row r="607" spans="8:8" x14ac:dyDescent="0.25">
      <c r="H607" s="10" t="str">
        <f t="shared" si="10"/>
        <v/>
      </c>
    </row>
    <row r="608" spans="8:8" x14ac:dyDescent="0.25">
      <c r="H608" s="10" t="str">
        <f t="shared" si="10"/>
        <v/>
      </c>
    </row>
    <row r="609" spans="8:8" x14ac:dyDescent="0.25">
      <c r="H609" s="10" t="str">
        <f t="shared" si="10"/>
        <v/>
      </c>
    </row>
    <row r="610" spans="8:8" x14ac:dyDescent="0.25">
      <c r="H610" s="10" t="str">
        <f t="shared" si="10"/>
        <v/>
      </c>
    </row>
    <row r="611" spans="8:8" x14ac:dyDescent="0.25">
      <c r="H611" s="10" t="str">
        <f t="shared" si="10"/>
        <v/>
      </c>
    </row>
    <row r="612" spans="8:8" x14ac:dyDescent="0.25">
      <c r="H612" s="10" t="str">
        <f t="shared" si="10"/>
        <v/>
      </c>
    </row>
    <row r="613" spans="8:8" x14ac:dyDescent="0.25">
      <c r="H613" s="10" t="str">
        <f t="shared" si="10"/>
        <v/>
      </c>
    </row>
    <row r="614" spans="8:8" x14ac:dyDescent="0.25">
      <c r="H614" s="10" t="str">
        <f t="shared" si="10"/>
        <v/>
      </c>
    </row>
    <row r="615" spans="8:8" x14ac:dyDescent="0.25">
      <c r="H615" s="10" t="str">
        <f t="shared" si="10"/>
        <v/>
      </c>
    </row>
    <row r="616" spans="8:8" x14ac:dyDescent="0.25">
      <c r="H616" s="10" t="str">
        <f t="shared" si="10"/>
        <v/>
      </c>
    </row>
    <row r="617" spans="8:8" x14ac:dyDescent="0.25">
      <c r="H617" s="10" t="str">
        <f t="shared" si="10"/>
        <v/>
      </c>
    </row>
    <row r="618" spans="8:8" x14ac:dyDescent="0.25">
      <c r="H618" s="10" t="str">
        <f t="shared" si="10"/>
        <v/>
      </c>
    </row>
    <row r="619" spans="8:8" x14ac:dyDescent="0.25">
      <c r="H619" s="10" t="str">
        <f t="shared" si="10"/>
        <v/>
      </c>
    </row>
    <row r="620" spans="8:8" x14ac:dyDescent="0.25">
      <c r="H620" s="10" t="str">
        <f t="shared" si="10"/>
        <v/>
      </c>
    </row>
    <row r="621" spans="8:8" x14ac:dyDescent="0.25">
      <c r="H621" s="10" t="str">
        <f t="shared" si="10"/>
        <v/>
      </c>
    </row>
    <row r="622" spans="8:8" x14ac:dyDescent="0.25">
      <c r="H622" s="10" t="str">
        <f t="shared" si="10"/>
        <v/>
      </c>
    </row>
    <row r="623" spans="8:8" x14ac:dyDescent="0.25">
      <c r="H623" s="10" t="str">
        <f t="shared" si="10"/>
        <v/>
      </c>
    </row>
    <row r="624" spans="8:8" x14ac:dyDescent="0.25">
      <c r="H624" s="10" t="str">
        <f t="shared" si="10"/>
        <v/>
      </c>
    </row>
    <row r="625" spans="8:8" x14ac:dyDescent="0.25">
      <c r="H625" s="10" t="str">
        <f t="shared" si="10"/>
        <v/>
      </c>
    </row>
    <row r="626" spans="8:8" x14ac:dyDescent="0.25">
      <c r="H626" s="10" t="str">
        <f t="shared" si="10"/>
        <v/>
      </c>
    </row>
    <row r="627" spans="8:8" x14ac:dyDescent="0.25">
      <c r="H627" s="10" t="str">
        <f t="shared" si="10"/>
        <v/>
      </c>
    </row>
    <row r="628" spans="8:8" x14ac:dyDescent="0.25">
      <c r="H628" s="10" t="str">
        <f t="shared" si="10"/>
        <v/>
      </c>
    </row>
    <row r="629" spans="8:8" x14ac:dyDescent="0.25">
      <c r="H629" s="10" t="str">
        <f t="shared" si="10"/>
        <v/>
      </c>
    </row>
    <row r="630" spans="8:8" x14ac:dyDescent="0.25">
      <c r="H630" s="10" t="str">
        <f t="shared" si="10"/>
        <v/>
      </c>
    </row>
    <row r="631" spans="8:8" x14ac:dyDescent="0.25">
      <c r="H631" s="10" t="str">
        <f t="shared" si="10"/>
        <v/>
      </c>
    </row>
    <row r="632" spans="8:8" x14ac:dyDescent="0.25">
      <c r="H632" s="10" t="str">
        <f t="shared" si="10"/>
        <v/>
      </c>
    </row>
    <row r="633" spans="8:8" x14ac:dyDescent="0.25">
      <c r="H633" s="10" t="str">
        <f t="shared" si="10"/>
        <v/>
      </c>
    </row>
    <row r="634" spans="8:8" x14ac:dyDescent="0.25">
      <c r="H634" s="10" t="str">
        <f t="shared" si="10"/>
        <v/>
      </c>
    </row>
    <row r="635" spans="8:8" x14ac:dyDescent="0.25">
      <c r="H635" s="10" t="str">
        <f t="shared" si="10"/>
        <v/>
      </c>
    </row>
    <row r="636" spans="8:8" x14ac:dyDescent="0.25">
      <c r="H636" s="10" t="str">
        <f t="shared" si="10"/>
        <v/>
      </c>
    </row>
    <row r="637" spans="8:8" x14ac:dyDescent="0.25">
      <c r="H637" s="10" t="str">
        <f t="shared" si="10"/>
        <v/>
      </c>
    </row>
    <row r="638" spans="8:8" x14ac:dyDescent="0.25">
      <c r="H638" s="10" t="str">
        <f t="shared" si="10"/>
        <v/>
      </c>
    </row>
    <row r="639" spans="8:8" x14ac:dyDescent="0.25">
      <c r="H639" s="10" t="str">
        <f t="shared" si="10"/>
        <v/>
      </c>
    </row>
    <row r="640" spans="8:8" x14ac:dyDescent="0.25">
      <c r="H640" s="10" t="str">
        <f t="shared" si="10"/>
        <v/>
      </c>
    </row>
    <row r="641" spans="8:8" x14ac:dyDescent="0.25">
      <c r="H641" s="10" t="str">
        <f t="shared" si="10"/>
        <v/>
      </c>
    </row>
    <row r="642" spans="8:8" x14ac:dyDescent="0.25">
      <c r="H642" s="10" t="str">
        <f t="shared" si="10"/>
        <v/>
      </c>
    </row>
    <row r="643" spans="8:8" x14ac:dyDescent="0.25">
      <c r="H643" s="10" t="str">
        <f t="shared" si="10"/>
        <v/>
      </c>
    </row>
    <row r="644" spans="8:8" x14ac:dyDescent="0.25">
      <c r="H644" s="10" t="str">
        <f t="shared" ref="H644:H707" si="11">IFERROR(DATEVALUE(C644),"")</f>
        <v/>
      </c>
    </row>
    <row r="645" spans="8:8" x14ac:dyDescent="0.25">
      <c r="H645" s="10" t="str">
        <f t="shared" si="11"/>
        <v/>
      </c>
    </row>
    <row r="646" spans="8:8" x14ac:dyDescent="0.25">
      <c r="H646" s="10" t="str">
        <f t="shared" si="11"/>
        <v/>
      </c>
    </row>
    <row r="647" spans="8:8" x14ac:dyDescent="0.25">
      <c r="H647" s="10" t="str">
        <f t="shared" si="11"/>
        <v/>
      </c>
    </row>
    <row r="648" spans="8:8" x14ac:dyDescent="0.25">
      <c r="H648" s="10" t="str">
        <f t="shared" si="11"/>
        <v/>
      </c>
    </row>
    <row r="649" spans="8:8" x14ac:dyDescent="0.25">
      <c r="H649" s="10" t="str">
        <f t="shared" si="11"/>
        <v/>
      </c>
    </row>
    <row r="650" spans="8:8" x14ac:dyDescent="0.25">
      <c r="H650" s="10" t="str">
        <f t="shared" si="11"/>
        <v/>
      </c>
    </row>
    <row r="651" spans="8:8" x14ac:dyDescent="0.25">
      <c r="H651" s="10" t="str">
        <f t="shared" si="11"/>
        <v/>
      </c>
    </row>
    <row r="652" spans="8:8" x14ac:dyDescent="0.25">
      <c r="H652" s="10" t="str">
        <f t="shared" si="11"/>
        <v/>
      </c>
    </row>
    <row r="653" spans="8:8" x14ac:dyDescent="0.25">
      <c r="H653" s="10" t="str">
        <f t="shared" si="11"/>
        <v/>
      </c>
    </row>
    <row r="654" spans="8:8" x14ac:dyDescent="0.25">
      <c r="H654" s="10" t="str">
        <f t="shared" si="11"/>
        <v/>
      </c>
    </row>
    <row r="655" spans="8:8" x14ac:dyDescent="0.25">
      <c r="H655" s="10" t="str">
        <f t="shared" si="11"/>
        <v/>
      </c>
    </row>
    <row r="656" spans="8:8" x14ac:dyDescent="0.25">
      <c r="H656" s="10" t="str">
        <f t="shared" si="11"/>
        <v/>
      </c>
    </row>
    <row r="657" spans="8:8" x14ac:dyDescent="0.25">
      <c r="H657" s="10" t="str">
        <f t="shared" si="11"/>
        <v/>
      </c>
    </row>
    <row r="658" spans="8:8" x14ac:dyDescent="0.25">
      <c r="H658" s="10" t="str">
        <f t="shared" si="11"/>
        <v/>
      </c>
    </row>
    <row r="659" spans="8:8" x14ac:dyDescent="0.25">
      <c r="H659" s="10" t="str">
        <f t="shared" si="11"/>
        <v/>
      </c>
    </row>
    <row r="660" spans="8:8" x14ac:dyDescent="0.25">
      <c r="H660" s="10" t="str">
        <f t="shared" si="11"/>
        <v/>
      </c>
    </row>
    <row r="661" spans="8:8" x14ac:dyDescent="0.25">
      <c r="H661" s="10" t="str">
        <f t="shared" si="11"/>
        <v/>
      </c>
    </row>
    <row r="662" spans="8:8" x14ac:dyDescent="0.25">
      <c r="H662" s="10" t="str">
        <f t="shared" si="11"/>
        <v/>
      </c>
    </row>
    <row r="663" spans="8:8" x14ac:dyDescent="0.25">
      <c r="H663" s="10" t="str">
        <f t="shared" si="11"/>
        <v/>
      </c>
    </row>
    <row r="664" spans="8:8" x14ac:dyDescent="0.25">
      <c r="H664" s="10" t="str">
        <f t="shared" si="11"/>
        <v/>
      </c>
    </row>
    <row r="665" spans="8:8" x14ac:dyDescent="0.25">
      <c r="H665" s="10" t="str">
        <f t="shared" si="11"/>
        <v/>
      </c>
    </row>
    <row r="666" spans="8:8" x14ac:dyDescent="0.25">
      <c r="H666" s="10" t="str">
        <f t="shared" si="11"/>
        <v/>
      </c>
    </row>
    <row r="667" spans="8:8" x14ac:dyDescent="0.25">
      <c r="H667" s="10" t="str">
        <f t="shared" si="11"/>
        <v/>
      </c>
    </row>
    <row r="668" spans="8:8" x14ac:dyDescent="0.25">
      <c r="H668" s="10" t="str">
        <f t="shared" si="11"/>
        <v/>
      </c>
    </row>
    <row r="669" spans="8:8" x14ac:dyDescent="0.25">
      <c r="H669" s="10" t="str">
        <f t="shared" si="11"/>
        <v/>
      </c>
    </row>
    <row r="670" spans="8:8" x14ac:dyDescent="0.25">
      <c r="H670" s="10" t="str">
        <f t="shared" si="11"/>
        <v/>
      </c>
    </row>
    <row r="671" spans="8:8" x14ac:dyDescent="0.25">
      <c r="H671" s="10" t="str">
        <f t="shared" si="11"/>
        <v/>
      </c>
    </row>
    <row r="672" spans="8:8" x14ac:dyDescent="0.25">
      <c r="H672" s="10" t="str">
        <f t="shared" si="11"/>
        <v/>
      </c>
    </row>
    <row r="673" spans="8:8" x14ac:dyDescent="0.25">
      <c r="H673" s="10" t="str">
        <f t="shared" si="11"/>
        <v/>
      </c>
    </row>
    <row r="674" spans="8:8" x14ac:dyDescent="0.25">
      <c r="H674" s="10" t="str">
        <f t="shared" si="11"/>
        <v/>
      </c>
    </row>
    <row r="675" spans="8:8" x14ac:dyDescent="0.25">
      <c r="H675" s="10" t="str">
        <f t="shared" si="11"/>
        <v/>
      </c>
    </row>
    <row r="676" spans="8:8" x14ac:dyDescent="0.25">
      <c r="H676" s="10" t="str">
        <f t="shared" si="11"/>
        <v/>
      </c>
    </row>
    <row r="677" spans="8:8" x14ac:dyDescent="0.25">
      <c r="H677" s="10" t="str">
        <f t="shared" si="11"/>
        <v/>
      </c>
    </row>
    <row r="678" spans="8:8" x14ac:dyDescent="0.25">
      <c r="H678" s="10" t="str">
        <f t="shared" si="11"/>
        <v/>
      </c>
    </row>
    <row r="679" spans="8:8" x14ac:dyDescent="0.25">
      <c r="H679" s="10" t="str">
        <f t="shared" si="11"/>
        <v/>
      </c>
    </row>
    <row r="680" spans="8:8" x14ac:dyDescent="0.25">
      <c r="H680" s="10" t="str">
        <f t="shared" si="11"/>
        <v/>
      </c>
    </row>
    <row r="681" spans="8:8" x14ac:dyDescent="0.25">
      <c r="H681" s="10" t="str">
        <f t="shared" si="11"/>
        <v/>
      </c>
    </row>
    <row r="682" spans="8:8" x14ac:dyDescent="0.25">
      <c r="H682" s="10" t="str">
        <f t="shared" si="11"/>
        <v/>
      </c>
    </row>
    <row r="683" spans="8:8" x14ac:dyDescent="0.25">
      <c r="H683" s="10" t="str">
        <f t="shared" si="11"/>
        <v/>
      </c>
    </row>
    <row r="684" spans="8:8" x14ac:dyDescent="0.25">
      <c r="H684" s="10" t="str">
        <f t="shared" si="11"/>
        <v/>
      </c>
    </row>
    <row r="685" spans="8:8" x14ac:dyDescent="0.25">
      <c r="H685" s="10" t="str">
        <f t="shared" si="11"/>
        <v/>
      </c>
    </row>
    <row r="686" spans="8:8" x14ac:dyDescent="0.25">
      <c r="H686" s="10" t="str">
        <f t="shared" si="11"/>
        <v/>
      </c>
    </row>
    <row r="687" spans="8:8" x14ac:dyDescent="0.25">
      <c r="H687" s="10" t="str">
        <f t="shared" si="11"/>
        <v/>
      </c>
    </row>
    <row r="688" spans="8:8" x14ac:dyDescent="0.25">
      <c r="H688" s="10" t="str">
        <f t="shared" si="11"/>
        <v/>
      </c>
    </row>
    <row r="689" spans="8:8" x14ac:dyDescent="0.25">
      <c r="H689" s="10" t="str">
        <f t="shared" si="11"/>
        <v/>
      </c>
    </row>
    <row r="690" spans="8:8" x14ac:dyDescent="0.25">
      <c r="H690" s="10" t="str">
        <f t="shared" si="11"/>
        <v/>
      </c>
    </row>
    <row r="691" spans="8:8" x14ac:dyDescent="0.25">
      <c r="H691" s="10" t="str">
        <f t="shared" si="11"/>
        <v/>
      </c>
    </row>
    <row r="692" spans="8:8" x14ac:dyDescent="0.25">
      <c r="H692" s="10" t="str">
        <f t="shared" si="11"/>
        <v/>
      </c>
    </row>
    <row r="693" spans="8:8" x14ac:dyDescent="0.25">
      <c r="H693" s="10" t="str">
        <f t="shared" si="11"/>
        <v/>
      </c>
    </row>
    <row r="694" spans="8:8" x14ac:dyDescent="0.25">
      <c r="H694" s="10" t="str">
        <f t="shared" si="11"/>
        <v/>
      </c>
    </row>
    <row r="695" spans="8:8" x14ac:dyDescent="0.25">
      <c r="H695" s="10" t="str">
        <f t="shared" si="11"/>
        <v/>
      </c>
    </row>
    <row r="696" spans="8:8" x14ac:dyDescent="0.25">
      <c r="H696" s="10" t="str">
        <f t="shared" si="11"/>
        <v/>
      </c>
    </row>
    <row r="697" spans="8:8" x14ac:dyDescent="0.25">
      <c r="H697" s="10" t="str">
        <f t="shared" si="11"/>
        <v/>
      </c>
    </row>
    <row r="698" spans="8:8" x14ac:dyDescent="0.25">
      <c r="H698" s="10" t="str">
        <f t="shared" si="11"/>
        <v/>
      </c>
    </row>
    <row r="699" spans="8:8" x14ac:dyDescent="0.25">
      <c r="H699" s="10" t="str">
        <f t="shared" si="11"/>
        <v/>
      </c>
    </row>
    <row r="700" spans="8:8" x14ac:dyDescent="0.25">
      <c r="H700" s="10" t="str">
        <f t="shared" si="11"/>
        <v/>
      </c>
    </row>
    <row r="701" spans="8:8" x14ac:dyDescent="0.25">
      <c r="H701" s="10" t="str">
        <f t="shared" si="11"/>
        <v/>
      </c>
    </row>
    <row r="702" spans="8:8" x14ac:dyDescent="0.25">
      <c r="H702" s="10" t="str">
        <f t="shared" si="11"/>
        <v/>
      </c>
    </row>
    <row r="703" spans="8:8" x14ac:dyDescent="0.25">
      <c r="H703" s="10" t="str">
        <f t="shared" si="11"/>
        <v/>
      </c>
    </row>
    <row r="704" spans="8:8" x14ac:dyDescent="0.25">
      <c r="H704" s="10" t="str">
        <f t="shared" si="11"/>
        <v/>
      </c>
    </row>
    <row r="705" spans="8:8" x14ac:dyDescent="0.25">
      <c r="H705" s="10" t="str">
        <f t="shared" si="11"/>
        <v/>
      </c>
    </row>
    <row r="706" spans="8:8" x14ac:dyDescent="0.25">
      <c r="H706" s="10" t="str">
        <f t="shared" si="11"/>
        <v/>
      </c>
    </row>
    <row r="707" spans="8:8" x14ac:dyDescent="0.25">
      <c r="H707" s="10" t="str">
        <f t="shared" si="11"/>
        <v/>
      </c>
    </row>
    <row r="708" spans="8:8" x14ac:dyDescent="0.25">
      <c r="H708" s="10" t="str">
        <f t="shared" ref="H708:H771" si="12">IFERROR(DATEVALUE(C708),"")</f>
        <v/>
      </c>
    </row>
    <row r="709" spans="8:8" x14ac:dyDescent="0.25">
      <c r="H709" s="10" t="str">
        <f t="shared" si="12"/>
        <v/>
      </c>
    </row>
    <row r="710" spans="8:8" x14ac:dyDescent="0.25">
      <c r="H710" s="10" t="str">
        <f t="shared" si="12"/>
        <v/>
      </c>
    </row>
    <row r="711" spans="8:8" x14ac:dyDescent="0.25">
      <c r="H711" s="10" t="str">
        <f t="shared" si="12"/>
        <v/>
      </c>
    </row>
    <row r="712" spans="8:8" x14ac:dyDescent="0.25">
      <c r="H712" s="10" t="str">
        <f t="shared" si="12"/>
        <v/>
      </c>
    </row>
    <row r="713" spans="8:8" x14ac:dyDescent="0.25">
      <c r="H713" s="10" t="str">
        <f t="shared" si="12"/>
        <v/>
      </c>
    </row>
    <row r="714" spans="8:8" x14ac:dyDescent="0.25">
      <c r="H714" s="10" t="str">
        <f t="shared" si="12"/>
        <v/>
      </c>
    </row>
    <row r="715" spans="8:8" x14ac:dyDescent="0.25">
      <c r="H715" s="10" t="str">
        <f t="shared" si="12"/>
        <v/>
      </c>
    </row>
    <row r="716" spans="8:8" x14ac:dyDescent="0.25">
      <c r="H716" s="10" t="str">
        <f t="shared" si="12"/>
        <v/>
      </c>
    </row>
    <row r="717" spans="8:8" x14ac:dyDescent="0.25">
      <c r="H717" s="10" t="str">
        <f t="shared" si="12"/>
        <v/>
      </c>
    </row>
    <row r="718" spans="8:8" x14ac:dyDescent="0.25">
      <c r="H718" s="10" t="str">
        <f t="shared" si="12"/>
        <v/>
      </c>
    </row>
    <row r="719" spans="8:8" x14ac:dyDescent="0.25">
      <c r="H719" s="10" t="str">
        <f t="shared" si="12"/>
        <v/>
      </c>
    </row>
    <row r="720" spans="8:8" x14ac:dyDescent="0.25">
      <c r="H720" s="10" t="str">
        <f t="shared" si="12"/>
        <v/>
      </c>
    </row>
    <row r="721" spans="8:8" x14ac:dyDescent="0.25">
      <c r="H721" s="10" t="str">
        <f t="shared" si="12"/>
        <v/>
      </c>
    </row>
    <row r="722" spans="8:8" x14ac:dyDescent="0.25">
      <c r="H722" s="10" t="str">
        <f t="shared" si="12"/>
        <v/>
      </c>
    </row>
    <row r="723" spans="8:8" x14ac:dyDescent="0.25">
      <c r="H723" s="10" t="str">
        <f t="shared" si="12"/>
        <v/>
      </c>
    </row>
    <row r="724" spans="8:8" x14ac:dyDescent="0.25">
      <c r="H724" s="10" t="str">
        <f t="shared" si="12"/>
        <v/>
      </c>
    </row>
    <row r="725" spans="8:8" x14ac:dyDescent="0.25">
      <c r="H725" s="10" t="str">
        <f t="shared" si="12"/>
        <v/>
      </c>
    </row>
    <row r="726" spans="8:8" x14ac:dyDescent="0.25">
      <c r="H726" s="10" t="str">
        <f t="shared" si="12"/>
        <v/>
      </c>
    </row>
    <row r="727" spans="8:8" x14ac:dyDescent="0.25">
      <c r="H727" s="10" t="str">
        <f t="shared" si="12"/>
        <v/>
      </c>
    </row>
    <row r="728" spans="8:8" x14ac:dyDescent="0.25">
      <c r="H728" s="10" t="str">
        <f t="shared" si="12"/>
        <v/>
      </c>
    </row>
    <row r="729" spans="8:8" x14ac:dyDescent="0.25">
      <c r="H729" s="10" t="str">
        <f t="shared" si="12"/>
        <v/>
      </c>
    </row>
    <row r="730" spans="8:8" x14ac:dyDescent="0.25">
      <c r="H730" s="10" t="str">
        <f t="shared" si="12"/>
        <v/>
      </c>
    </row>
    <row r="731" spans="8:8" x14ac:dyDescent="0.25">
      <c r="H731" s="10" t="str">
        <f t="shared" si="12"/>
        <v/>
      </c>
    </row>
    <row r="732" spans="8:8" x14ac:dyDescent="0.25">
      <c r="H732" s="10" t="str">
        <f t="shared" si="12"/>
        <v/>
      </c>
    </row>
    <row r="733" spans="8:8" x14ac:dyDescent="0.25">
      <c r="H733" s="10" t="str">
        <f t="shared" si="12"/>
        <v/>
      </c>
    </row>
    <row r="734" spans="8:8" x14ac:dyDescent="0.25">
      <c r="H734" s="10" t="str">
        <f t="shared" si="12"/>
        <v/>
      </c>
    </row>
    <row r="735" spans="8:8" x14ac:dyDescent="0.25">
      <c r="H735" s="10" t="str">
        <f t="shared" si="12"/>
        <v/>
      </c>
    </row>
    <row r="736" spans="8:8" x14ac:dyDescent="0.25">
      <c r="H736" s="10" t="str">
        <f t="shared" si="12"/>
        <v/>
      </c>
    </row>
    <row r="737" spans="8:8" x14ac:dyDescent="0.25">
      <c r="H737" s="10" t="str">
        <f t="shared" si="12"/>
        <v/>
      </c>
    </row>
    <row r="738" spans="8:8" x14ac:dyDescent="0.25">
      <c r="H738" s="10" t="str">
        <f t="shared" si="12"/>
        <v/>
      </c>
    </row>
    <row r="739" spans="8:8" x14ac:dyDescent="0.25">
      <c r="H739" s="10" t="str">
        <f t="shared" si="12"/>
        <v/>
      </c>
    </row>
    <row r="740" spans="8:8" x14ac:dyDescent="0.25">
      <c r="H740" s="10" t="str">
        <f t="shared" si="12"/>
        <v/>
      </c>
    </row>
    <row r="741" spans="8:8" x14ac:dyDescent="0.25">
      <c r="H741" s="10" t="str">
        <f t="shared" si="12"/>
        <v/>
      </c>
    </row>
    <row r="742" spans="8:8" x14ac:dyDescent="0.25">
      <c r="H742" s="10" t="str">
        <f t="shared" si="12"/>
        <v/>
      </c>
    </row>
    <row r="743" spans="8:8" x14ac:dyDescent="0.25">
      <c r="H743" s="10" t="str">
        <f t="shared" si="12"/>
        <v/>
      </c>
    </row>
    <row r="744" spans="8:8" x14ac:dyDescent="0.25">
      <c r="H744" s="10" t="str">
        <f t="shared" si="12"/>
        <v/>
      </c>
    </row>
    <row r="745" spans="8:8" x14ac:dyDescent="0.25">
      <c r="H745" s="10" t="str">
        <f t="shared" si="12"/>
        <v/>
      </c>
    </row>
    <row r="746" spans="8:8" x14ac:dyDescent="0.25">
      <c r="H746" s="10" t="str">
        <f t="shared" si="12"/>
        <v/>
      </c>
    </row>
    <row r="747" spans="8:8" x14ac:dyDescent="0.25">
      <c r="H747" s="10" t="str">
        <f t="shared" si="12"/>
        <v/>
      </c>
    </row>
    <row r="748" spans="8:8" x14ac:dyDescent="0.25">
      <c r="H748" s="10" t="str">
        <f t="shared" si="12"/>
        <v/>
      </c>
    </row>
    <row r="749" spans="8:8" x14ac:dyDescent="0.25">
      <c r="H749" s="10" t="str">
        <f t="shared" si="12"/>
        <v/>
      </c>
    </row>
    <row r="750" spans="8:8" x14ac:dyDescent="0.25">
      <c r="H750" s="10" t="str">
        <f t="shared" si="12"/>
        <v/>
      </c>
    </row>
    <row r="751" spans="8:8" x14ac:dyDescent="0.25">
      <c r="H751" s="10" t="str">
        <f t="shared" si="12"/>
        <v/>
      </c>
    </row>
    <row r="752" spans="8:8" x14ac:dyDescent="0.25">
      <c r="H752" s="10" t="str">
        <f t="shared" si="12"/>
        <v/>
      </c>
    </row>
    <row r="753" spans="8:8" x14ac:dyDescent="0.25">
      <c r="H753" s="10" t="str">
        <f t="shared" si="12"/>
        <v/>
      </c>
    </row>
    <row r="754" spans="8:8" x14ac:dyDescent="0.25">
      <c r="H754" s="10" t="str">
        <f t="shared" si="12"/>
        <v/>
      </c>
    </row>
    <row r="755" spans="8:8" x14ac:dyDescent="0.25">
      <c r="H755" s="10" t="str">
        <f t="shared" si="12"/>
        <v/>
      </c>
    </row>
    <row r="756" spans="8:8" x14ac:dyDescent="0.25">
      <c r="H756" s="10" t="str">
        <f t="shared" si="12"/>
        <v/>
      </c>
    </row>
    <row r="757" spans="8:8" x14ac:dyDescent="0.25">
      <c r="H757" s="10" t="str">
        <f t="shared" si="12"/>
        <v/>
      </c>
    </row>
    <row r="758" spans="8:8" x14ac:dyDescent="0.25">
      <c r="H758" s="10" t="str">
        <f t="shared" si="12"/>
        <v/>
      </c>
    </row>
    <row r="759" spans="8:8" x14ac:dyDescent="0.25">
      <c r="H759" s="10" t="str">
        <f t="shared" si="12"/>
        <v/>
      </c>
    </row>
    <row r="760" spans="8:8" x14ac:dyDescent="0.25">
      <c r="H760" s="10" t="str">
        <f t="shared" si="12"/>
        <v/>
      </c>
    </row>
    <row r="761" spans="8:8" x14ac:dyDescent="0.25">
      <c r="H761" s="10" t="str">
        <f t="shared" si="12"/>
        <v/>
      </c>
    </row>
    <row r="762" spans="8:8" x14ac:dyDescent="0.25">
      <c r="H762" s="10" t="str">
        <f t="shared" si="12"/>
        <v/>
      </c>
    </row>
    <row r="763" spans="8:8" x14ac:dyDescent="0.25">
      <c r="H763" s="10" t="str">
        <f t="shared" si="12"/>
        <v/>
      </c>
    </row>
    <row r="764" spans="8:8" x14ac:dyDescent="0.25">
      <c r="H764" s="10" t="str">
        <f t="shared" si="12"/>
        <v/>
      </c>
    </row>
    <row r="765" spans="8:8" x14ac:dyDescent="0.25">
      <c r="H765" s="10" t="str">
        <f t="shared" si="12"/>
        <v/>
      </c>
    </row>
    <row r="766" spans="8:8" x14ac:dyDescent="0.25">
      <c r="H766" s="10" t="str">
        <f t="shared" si="12"/>
        <v/>
      </c>
    </row>
    <row r="767" spans="8:8" x14ac:dyDescent="0.25">
      <c r="H767" s="10" t="str">
        <f t="shared" si="12"/>
        <v/>
      </c>
    </row>
    <row r="768" spans="8:8" x14ac:dyDescent="0.25">
      <c r="H768" s="10" t="str">
        <f t="shared" si="12"/>
        <v/>
      </c>
    </row>
    <row r="769" spans="8:8" x14ac:dyDescent="0.25">
      <c r="H769" s="10" t="str">
        <f t="shared" si="12"/>
        <v/>
      </c>
    </row>
    <row r="770" spans="8:8" x14ac:dyDescent="0.25">
      <c r="H770" s="10" t="str">
        <f t="shared" si="12"/>
        <v/>
      </c>
    </row>
    <row r="771" spans="8:8" x14ac:dyDescent="0.25">
      <c r="H771" s="10" t="str">
        <f t="shared" si="12"/>
        <v/>
      </c>
    </row>
    <row r="772" spans="8:8" x14ac:dyDescent="0.25">
      <c r="H772" s="10" t="str">
        <f t="shared" ref="H772:H835" si="13">IFERROR(DATEVALUE(C772),"")</f>
        <v/>
      </c>
    </row>
    <row r="773" spans="8:8" x14ac:dyDescent="0.25">
      <c r="H773" s="10" t="str">
        <f t="shared" si="13"/>
        <v/>
      </c>
    </row>
    <row r="774" spans="8:8" x14ac:dyDescent="0.25">
      <c r="H774" s="10" t="str">
        <f t="shared" si="13"/>
        <v/>
      </c>
    </row>
    <row r="775" spans="8:8" x14ac:dyDescent="0.25">
      <c r="H775" s="10" t="str">
        <f t="shared" si="13"/>
        <v/>
      </c>
    </row>
    <row r="776" spans="8:8" x14ac:dyDescent="0.25">
      <c r="H776" s="10" t="str">
        <f t="shared" si="13"/>
        <v/>
      </c>
    </row>
    <row r="777" spans="8:8" x14ac:dyDescent="0.25">
      <c r="H777" s="10" t="str">
        <f t="shared" si="13"/>
        <v/>
      </c>
    </row>
    <row r="778" spans="8:8" x14ac:dyDescent="0.25">
      <c r="H778" s="10" t="str">
        <f t="shared" si="13"/>
        <v/>
      </c>
    </row>
    <row r="779" spans="8:8" x14ac:dyDescent="0.25">
      <c r="H779" s="10" t="str">
        <f t="shared" si="13"/>
        <v/>
      </c>
    </row>
    <row r="780" spans="8:8" x14ac:dyDescent="0.25">
      <c r="H780" s="10" t="str">
        <f t="shared" si="13"/>
        <v/>
      </c>
    </row>
    <row r="781" spans="8:8" x14ac:dyDescent="0.25">
      <c r="H781" s="10" t="str">
        <f t="shared" si="13"/>
        <v/>
      </c>
    </row>
    <row r="782" spans="8:8" x14ac:dyDescent="0.25">
      <c r="H782" s="10" t="str">
        <f t="shared" si="13"/>
        <v/>
      </c>
    </row>
    <row r="783" spans="8:8" x14ac:dyDescent="0.25">
      <c r="H783" s="10" t="str">
        <f t="shared" si="13"/>
        <v/>
      </c>
    </row>
    <row r="784" spans="8:8" x14ac:dyDescent="0.25">
      <c r="H784" s="10" t="str">
        <f t="shared" si="13"/>
        <v/>
      </c>
    </row>
    <row r="785" spans="8:8" x14ac:dyDescent="0.25">
      <c r="H785" s="10" t="str">
        <f t="shared" si="13"/>
        <v/>
      </c>
    </row>
    <row r="786" spans="8:8" x14ac:dyDescent="0.25">
      <c r="H786" s="10" t="str">
        <f t="shared" si="13"/>
        <v/>
      </c>
    </row>
    <row r="787" spans="8:8" x14ac:dyDescent="0.25">
      <c r="H787" s="10" t="str">
        <f t="shared" si="13"/>
        <v/>
      </c>
    </row>
    <row r="788" spans="8:8" x14ac:dyDescent="0.25">
      <c r="H788" s="10" t="str">
        <f t="shared" si="13"/>
        <v/>
      </c>
    </row>
    <row r="789" spans="8:8" x14ac:dyDescent="0.25">
      <c r="H789" s="10" t="str">
        <f t="shared" si="13"/>
        <v/>
      </c>
    </row>
    <row r="790" spans="8:8" x14ac:dyDescent="0.25">
      <c r="H790" s="10" t="str">
        <f t="shared" si="13"/>
        <v/>
      </c>
    </row>
    <row r="791" spans="8:8" x14ac:dyDescent="0.25">
      <c r="H791" s="10" t="str">
        <f t="shared" si="13"/>
        <v/>
      </c>
    </row>
    <row r="792" spans="8:8" x14ac:dyDescent="0.25">
      <c r="H792" s="10" t="str">
        <f t="shared" si="13"/>
        <v/>
      </c>
    </row>
    <row r="793" spans="8:8" x14ac:dyDescent="0.25">
      <c r="H793" s="10" t="str">
        <f t="shared" si="13"/>
        <v/>
      </c>
    </row>
    <row r="794" spans="8:8" x14ac:dyDescent="0.25">
      <c r="H794" s="10" t="str">
        <f t="shared" si="13"/>
        <v/>
      </c>
    </row>
    <row r="795" spans="8:8" x14ac:dyDescent="0.25">
      <c r="H795" s="10" t="str">
        <f t="shared" si="13"/>
        <v/>
      </c>
    </row>
    <row r="796" spans="8:8" x14ac:dyDescent="0.25">
      <c r="H796" s="10" t="str">
        <f t="shared" si="13"/>
        <v/>
      </c>
    </row>
    <row r="797" spans="8:8" x14ac:dyDescent="0.25">
      <c r="H797" s="10" t="str">
        <f t="shared" si="13"/>
        <v/>
      </c>
    </row>
    <row r="798" spans="8:8" x14ac:dyDescent="0.25">
      <c r="H798" s="10" t="str">
        <f t="shared" si="13"/>
        <v/>
      </c>
    </row>
    <row r="799" spans="8:8" x14ac:dyDescent="0.25">
      <c r="H799" s="10" t="str">
        <f t="shared" si="13"/>
        <v/>
      </c>
    </row>
    <row r="800" spans="8:8" x14ac:dyDescent="0.25">
      <c r="H800" s="10" t="str">
        <f t="shared" si="13"/>
        <v/>
      </c>
    </row>
    <row r="801" spans="8:8" x14ac:dyDescent="0.25">
      <c r="H801" s="10" t="str">
        <f t="shared" si="13"/>
        <v/>
      </c>
    </row>
    <row r="802" spans="8:8" x14ac:dyDescent="0.25">
      <c r="H802" s="10" t="str">
        <f t="shared" si="13"/>
        <v/>
      </c>
    </row>
    <row r="803" spans="8:8" x14ac:dyDescent="0.25">
      <c r="H803" s="10" t="str">
        <f t="shared" si="13"/>
        <v/>
      </c>
    </row>
    <row r="804" spans="8:8" x14ac:dyDescent="0.25">
      <c r="H804" s="10" t="str">
        <f t="shared" si="13"/>
        <v/>
      </c>
    </row>
    <row r="805" spans="8:8" x14ac:dyDescent="0.25">
      <c r="H805" s="10" t="str">
        <f t="shared" si="13"/>
        <v/>
      </c>
    </row>
    <row r="806" spans="8:8" x14ac:dyDescent="0.25">
      <c r="H806" s="10" t="str">
        <f t="shared" si="13"/>
        <v/>
      </c>
    </row>
    <row r="807" spans="8:8" x14ac:dyDescent="0.25">
      <c r="H807" s="10" t="str">
        <f t="shared" si="13"/>
        <v/>
      </c>
    </row>
    <row r="808" spans="8:8" x14ac:dyDescent="0.25">
      <c r="H808" s="10" t="str">
        <f t="shared" si="13"/>
        <v/>
      </c>
    </row>
    <row r="809" spans="8:8" x14ac:dyDescent="0.25">
      <c r="H809" s="10" t="str">
        <f t="shared" si="13"/>
        <v/>
      </c>
    </row>
    <row r="810" spans="8:8" x14ac:dyDescent="0.25">
      <c r="H810" s="10" t="str">
        <f t="shared" si="13"/>
        <v/>
      </c>
    </row>
    <row r="811" spans="8:8" x14ac:dyDescent="0.25">
      <c r="H811" s="10" t="str">
        <f t="shared" si="13"/>
        <v/>
      </c>
    </row>
    <row r="812" spans="8:8" x14ac:dyDescent="0.25">
      <c r="H812" s="10" t="str">
        <f t="shared" si="13"/>
        <v/>
      </c>
    </row>
    <row r="813" spans="8:8" x14ac:dyDescent="0.25">
      <c r="H813" s="10" t="str">
        <f t="shared" si="13"/>
        <v/>
      </c>
    </row>
    <row r="814" spans="8:8" x14ac:dyDescent="0.25">
      <c r="H814" s="10" t="str">
        <f t="shared" si="13"/>
        <v/>
      </c>
    </row>
    <row r="815" spans="8:8" x14ac:dyDescent="0.25">
      <c r="H815" s="10" t="str">
        <f t="shared" si="13"/>
        <v/>
      </c>
    </row>
    <row r="816" spans="8:8" x14ac:dyDescent="0.25">
      <c r="H816" s="10" t="str">
        <f t="shared" si="13"/>
        <v/>
      </c>
    </row>
    <row r="817" spans="8:8" x14ac:dyDescent="0.25">
      <c r="H817" s="10" t="str">
        <f t="shared" si="13"/>
        <v/>
      </c>
    </row>
    <row r="818" spans="8:8" x14ac:dyDescent="0.25">
      <c r="H818" s="10" t="str">
        <f t="shared" si="13"/>
        <v/>
      </c>
    </row>
    <row r="819" spans="8:8" x14ac:dyDescent="0.25">
      <c r="H819" s="10" t="str">
        <f t="shared" si="13"/>
        <v/>
      </c>
    </row>
    <row r="820" spans="8:8" x14ac:dyDescent="0.25">
      <c r="H820" s="10" t="str">
        <f t="shared" si="13"/>
        <v/>
      </c>
    </row>
    <row r="821" spans="8:8" x14ac:dyDescent="0.25">
      <c r="H821" s="10" t="str">
        <f t="shared" si="13"/>
        <v/>
      </c>
    </row>
    <row r="822" spans="8:8" x14ac:dyDescent="0.25">
      <c r="H822" s="10" t="str">
        <f t="shared" si="13"/>
        <v/>
      </c>
    </row>
    <row r="823" spans="8:8" x14ac:dyDescent="0.25">
      <c r="H823" s="10" t="str">
        <f t="shared" si="13"/>
        <v/>
      </c>
    </row>
    <row r="824" spans="8:8" x14ac:dyDescent="0.25">
      <c r="H824" s="10" t="str">
        <f t="shared" si="13"/>
        <v/>
      </c>
    </row>
    <row r="825" spans="8:8" x14ac:dyDescent="0.25">
      <c r="H825" s="10" t="str">
        <f t="shared" si="13"/>
        <v/>
      </c>
    </row>
    <row r="826" spans="8:8" x14ac:dyDescent="0.25">
      <c r="H826" s="10" t="str">
        <f t="shared" si="13"/>
        <v/>
      </c>
    </row>
    <row r="827" spans="8:8" x14ac:dyDescent="0.25">
      <c r="H827" s="10" t="str">
        <f t="shared" si="13"/>
        <v/>
      </c>
    </row>
    <row r="828" spans="8:8" x14ac:dyDescent="0.25">
      <c r="H828" s="10" t="str">
        <f t="shared" si="13"/>
        <v/>
      </c>
    </row>
    <row r="829" spans="8:8" x14ac:dyDescent="0.25">
      <c r="H829" s="10" t="str">
        <f t="shared" si="13"/>
        <v/>
      </c>
    </row>
    <row r="830" spans="8:8" x14ac:dyDescent="0.25">
      <c r="H830" s="10" t="str">
        <f t="shared" si="13"/>
        <v/>
      </c>
    </row>
    <row r="831" spans="8:8" x14ac:dyDescent="0.25">
      <c r="H831" s="10" t="str">
        <f t="shared" si="13"/>
        <v/>
      </c>
    </row>
    <row r="832" spans="8:8" x14ac:dyDescent="0.25">
      <c r="H832" s="10" t="str">
        <f t="shared" si="13"/>
        <v/>
      </c>
    </row>
    <row r="833" spans="8:8" x14ac:dyDescent="0.25">
      <c r="H833" s="10" t="str">
        <f t="shared" si="13"/>
        <v/>
      </c>
    </row>
    <row r="834" spans="8:8" x14ac:dyDescent="0.25">
      <c r="H834" s="10" t="str">
        <f t="shared" si="13"/>
        <v/>
      </c>
    </row>
    <row r="835" spans="8:8" x14ac:dyDescent="0.25">
      <c r="H835" s="10" t="str">
        <f t="shared" si="13"/>
        <v/>
      </c>
    </row>
    <row r="836" spans="8:8" x14ac:dyDescent="0.25">
      <c r="H836" s="10" t="str">
        <f t="shared" ref="H836:H899" si="14">IFERROR(DATEVALUE(C836),"")</f>
        <v/>
      </c>
    </row>
    <row r="837" spans="8:8" x14ac:dyDescent="0.25">
      <c r="H837" s="10" t="str">
        <f t="shared" si="14"/>
        <v/>
      </c>
    </row>
    <row r="838" spans="8:8" x14ac:dyDescent="0.25">
      <c r="H838" s="10" t="str">
        <f t="shared" si="14"/>
        <v/>
      </c>
    </row>
    <row r="839" spans="8:8" x14ac:dyDescent="0.25">
      <c r="H839" s="10" t="str">
        <f t="shared" si="14"/>
        <v/>
      </c>
    </row>
    <row r="840" spans="8:8" x14ac:dyDescent="0.25">
      <c r="H840" s="10" t="str">
        <f t="shared" si="14"/>
        <v/>
      </c>
    </row>
    <row r="841" spans="8:8" x14ac:dyDescent="0.25">
      <c r="H841" s="10" t="str">
        <f t="shared" si="14"/>
        <v/>
      </c>
    </row>
    <row r="842" spans="8:8" x14ac:dyDescent="0.25">
      <c r="H842" s="10" t="str">
        <f t="shared" si="14"/>
        <v/>
      </c>
    </row>
    <row r="843" spans="8:8" x14ac:dyDescent="0.25">
      <c r="H843" s="10" t="str">
        <f t="shared" si="14"/>
        <v/>
      </c>
    </row>
    <row r="844" spans="8:8" x14ac:dyDescent="0.25">
      <c r="H844" s="10" t="str">
        <f t="shared" si="14"/>
        <v/>
      </c>
    </row>
    <row r="845" spans="8:8" x14ac:dyDescent="0.25">
      <c r="H845" s="10" t="str">
        <f t="shared" si="14"/>
        <v/>
      </c>
    </row>
    <row r="846" spans="8:8" x14ac:dyDescent="0.25">
      <c r="H846" s="10" t="str">
        <f t="shared" si="14"/>
        <v/>
      </c>
    </row>
    <row r="847" spans="8:8" x14ac:dyDescent="0.25">
      <c r="H847" s="10" t="str">
        <f t="shared" si="14"/>
        <v/>
      </c>
    </row>
    <row r="848" spans="8:8" x14ac:dyDescent="0.25">
      <c r="H848" s="10" t="str">
        <f t="shared" si="14"/>
        <v/>
      </c>
    </row>
    <row r="849" spans="8:8" x14ac:dyDescent="0.25">
      <c r="H849" s="10" t="str">
        <f t="shared" si="14"/>
        <v/>
      </c>
    </row>
    <row r="850" spans="8:8" x14ac:dyDescent="0.25">
      <c r="H850" s="10" t="str">
        <f t="shared" si="14"/>
        <v/>
      </c>
    </row>
    <row r="851" spans="8:8" x14ac:dyDescent="0.25">
      <c r="H851" s="10" t="str">
        <f t="shared" si="14"/>
        <v/>
      </c>
    </row>
    <row r="852" spans="8:8" x14ac:dyDescent="0.25">
      <c r="H852" s="10" t="str">
        <f t="shared" si="14"/>
        <v/>
      </c>
    </row>
    <row r="853" spans="8:8" x14ac:dyDescent="0.25">
      <c r="H853" s="10" t="str">
        <f t="shared" si="14"/>
        <v/>
      </c>
    </row>
    <row r="854" spans="8:8" x14ac:dyDescent="0.25">
      <c r="H854" s="10" t="str">
        <f t="shared" si="14"/>
        <v/>
      </c>
    </row>
    <row r="855" spans="8:8" x14ac:dyDescent="0.25">
      <c r="H855" s="10" t="str">
        <f t="shared" si="14"/>
        <v/>
      </c>
    </row>
    <row r="856" spans="8:8" x14ac:dyDescent="0.25">
      <c r="H856" s="10" t="str">
        <f t="shared" si="14"/>
        <v/>
      </c>
    </row>
    <row r="857" spans="8:8" x14ac:dyDescent="0.25">
      <c r="H857" s="10" t="str">
        <f t="shared" si="14"/>
        <v/>
      </c>
    </row>
    <row r="858" spans="8:8" x14ac:dyDescent="0.25">
      <c r="H858" s="10" t="str">
        <f t="shared" si="14"/>
        <v/>
      </c>
    </row>
    <row r="859" spans="8:8" x14ac:dyDescent="0.25">
      <c r="H859" s="10" t="str">
        <f t="shared" si="14"/>
        <v/>
      </c>
    </row>
    <row r="860" spans="8:8" x14ac:dyDescent="0.25">
      <c r="H860" s="10" t="str">
        <f t="shared" si="14"/>
        <v/>
      </c>
    </row>
    <row r="861" spans="8:8" x14ac:dyDescent="0.25">
      <c r="H861" s="10" t="str">
        <f t="shared" si="14"/>
        <v/>
      </c>
    </row>
    <row r="862" spans="8:8" x14ac:dyDescent="0.25">
      <c r="H862" s="10" t="str">
        <f t="shared" si="14"/>
        <v/>
      </c>
    </row>
    <row r="863" spans="8:8" x14ac:dyDescent="0.25">
      <c r="H863" s="10" t="str">
        <f t="shared" si="14"/>
        <v/>
      </c>
    </row>
    <row r="864" spans="8:8" x14ac:dyDescent="0.25">
      <c r="H864" s="10" t="str">
        <f t="shared" si="14"/>
        <v/>
      </c>
    </row>
    <row r="865" spans="8:8" x14ac:dyDescent="0.25">
      <c r="H865" s="10" t="str">
        <f t="shared" si="14"/>
        <v/>
      </c>
    </row>
    <row r="866" spans="8:8" x14ac:dyDescent="0.25">
      <c r="H866" s="10" t="str">
        <f t="shared" si="14"/>
        <v/>
      </c>
    </row>
    <row r="867" spans="8:8" x14ac:dyDescent="0.25">
      <c r="H867" s="10" t="str">
        <f t="shared" si="14"/>
        <v/>
      </c>
    </row>
    <row r="868" spans="8:8" x14ac:dyDescent="0.25">
      <c r="H868" s="10" t="str">
        <f t="shared" si="14"/>
        <v/>
      </c>
    </row>
    <row r="869" spans="8:8" x14ac:dyDescent="0.25">
      <c r="H869" s="10" t="str">
        <f t="shared" si="14"/>
        <v/>
      </c>
    </row>
    <row r="870" spans="8:8" x14ac:dyDescent="0.25">
      <c r="H870" s="10" t="str">
        <f t="shared" si="14"/>
        <v/>
      </c>
    </row>
    <row r="871" spans="8:8" x14ac:dyDescent="0.25">
      <c r="H871" s="10" t="str">
        <f t="shared" si="14"/>
        <v/>
      </c>
    </row>
    <row r="872" spans="8:8" x14ac:dyDescent="0.25">
      <c r="H872" s="10" t="str">
        <f t="shared" si="14"/>
        <v/>
      </c>
    </row>
    <row r="873" spans="8:8" x14ac:dyDescent="0.25">
      <c r="H873" s="10" t="str">
        <f t="shared" si="14"/>
        <v/>
      </c>
    </row>
    <row r="874" spans="8:8" x14ac:dyDescent="0.25">
      <c r="H874" s="10" t="str">
        <f t="shared" si="14"/>
        <v/>
      </c>
    </row>
    <row r="875" spans="8:8" x14ac:dyDescent="0.25">
      <c r="H875" s="10" t="str">
        <f t="shared" si="14"/>
        <v/>
      </c>
    </row>
    <row r="876" spans="8:8" x14ac:dyDescent="0.25">
      <c r="H876" s="10" t="str">
        <f t="shared" si="14"/>
        <v/>
      </c>
    </row>
    <row r="877" spans="8:8" x14ac:dyDescent="0.25">
      <c r="H877" s="10" t="str">
        <f t="shared" si="14"/>
        <v/>
      </c>
    </row>
    <row r="878" spans="8:8" x14ac:dyDescent="0.25">
      <c r="H878" s="10" t="str">
        <f t="shared" si="14"/>
        <v/>
      </c>
    </row>
    <row r="879" spans="8:8" x14ac:dyDescent="0.25">
      <c r="H879" s="10" t="str">
        <f t="shared" si="14"/>
        <v/>
      </c>
    </row>
    <row r="880" spans="8:8" x14ac:dyDescent="0.25">
      <c r="H880" s="10" t="str">
        <f t="shared" si="14"/>
        <v/>
      </c>
    </row>
    <row r="881" spans="8:8" x14ac:dyDescent="0.25">
      <c r="H881" s="10" t="str">
        <f t="shared" si="14"/>
        <v/>
      </c>
    </row>
    <row r="882" spans="8:8" x14ac:dyDescent="0.25">
      <c r="H882" s="10" t="str">
        <f t="shared" si="14"/>
        <v/>
      </c>
    </row>
    <row r="883" spans="8:8" x14ac:dyDescent="0.25">
      <c r="H883" s="10" t="str">
        <f t="shared" si="14"/>
        <v/>
      </c>
    </row>
    <row r="884" spans="8:8" x14ac:dyDescent="0.25">
      <c r="H884" s="10" t="str">
        <f t="shared" si="14"/>
        <v/>
      </c>
    </row>
    <row r="885" spans="8:8" x14ac:dyDescent="0.25">
      <c r="H885" s="10" t="str">
        <f t="shared" si="14"/>
        <v/>
      </c>
    </row>
    <row r="886" spans="8:8" x14ac:dyDescent="0.25">
      <c r="H886" s="10" t="str">
        <f t="shared" si="14"/>
        <v/>
      </c>
    </row>
    <row r="887" spans="8:8" x14ac:dyDescent="0.25">
      <c r="H887" s="10" t="str">
        <f t="shared" si="14"/>
        <v/>
      </c>
    </row>
    <row r="888" spans="8:8" x14ac:dyDescent="0.25">
      <c r="H888" s="10" t="str">
        <f t="shared" si="14"/>
        <v/>
      </c>
    </row>
    <row r="889" spans="8:8" x14ac:dyDescent="0.25">
      <c r="H889" s="10" t="str">
        <f t="shared" si="14"/>
        <v/>
      </c>
    </row>
    <row r="890" spans="8:8" x14ac:dyDescent="0.25">
      <c r="H890" s="10" t="str">
        <f t="shared" si="14"/>
        <v/>
      </c>
    </row>
    <row r="891" spans="8:8" x14ac:dyDescent="0.25">
      <c r="H891" s="10" t="str">
        <f t="shared" si="14"/>
        <v/>
      </c>
    </row>
    <row r="892" spans="8:8" x14ac:dyDescent="0.25">
      <c r="H892" s="10" t="str">
        <f t="shared" si="14"/>
        <v/>
      </c>
    </row>
    <row r="893" spans="8:8" x14ac:dyDescent="0.25">
      <c r="H893" s="10" t="str">
        <f t="shared" si="14"/>
        <v/>
      </c>
    </row>
    <row r="894" spans="8:8" x14ac:dyDescent="0.25">
      <c r="H894" s="10" t="str">
        <f t="shared" si="14"/>
        <v/>
      </c>
    </row>
    <row r="895" spans="8:8" x14ac:dyDescent="0.25">
      <c r="H895" s="10" t="str">
        <f t="shared" si="14"/>
        <v/>
      </c>
    </row>
    <row r="896" spans="8:8" x14ac:dyDescent="0.25">
      <c r="H896" s="10" t="str">
        <f t="shared" si="14"/>
        <v/>
      </c>
    </row>
    <row r="897" spans="8:8" x14ac:dyDescent="0.25">
      <c r="H897" s="10" t="str">
        <f t="shared" si="14"/>
        <v/>
      </c>
    </row>
    <row r="898" spans="8:8" x14ac:dyDescent="0.25">
      <c r="H898" s="10" t="str">
        <f t="shared" si="14"/>
        <v/>
      </c>
    </row>
    <row r="899" spans="8:8" x14ac:dyDescent="0.25">
      <c r="H899" s="10" t="str">
        <f t="shared" si="14"/>
        <v/>
      </c>
    </row>
    <row r="900" spans="8:8" x14ac:dyDescent="0.25">
      <c r="H900" s="10" t="str">
        <f t="shared" ref="H900:H963" si="15">IFERROR(DATEVALUE(C900),"")</f>
        <v/>
      </c>
    </row>
    <row r="901" spans="8:8" x14ac:dyDescent="0.25">
      <c r="H901" s="10" t="str">
        <f t="shared" si="15"/>
        <v/>
      </c>
    </row>
    <row r="902" spans="8:8" x14ac:dyDescent="0.25">
      <c r="H902" s="10" t="str">
        <f t="shared" si="15"/>
        <v/>
      </c>
    </row>
    <row r="903" spans="8:8" x14ac:dyDescent="0.25">
      <c r="H903" s="10" t="str">
        <f t="shared" si="15"/>
        <v/>
      </c>
    </row>
    <row r="904" spans="8:8" x14ac:dyDescent="0.25">
      <c r="H904" s="10" t="str">
        <f t="shared" si="15"/>
        <v/>
      </c>
    </row>
    <row r="905" spans="8:8" x14ac:dyDescent="0.25">
      <c r="H905" s="10" t="str">
        <f t="shared" si="15"/>
        <v/>
      </c>
    </row>
    <row r="906" spans="8:8" x14ac:dyDescent="0.25">
      <c r="H906" s="10" t="str">
        <f t="shared" si="15"/>
        <v/>
      </c>
    </row>
    <row r="907" spans="8:8" x14ac:dyDescent="0.25">
      <c r="H907" s="10" t="str">
        <f t="shared" si="15"/>
        <v/>
      </c>
    </row>
    <row r="908" spans="8:8" x14ac:dyDescent="0.25">
      <c r="H908" s="10" t="str">
        <f t="shared" si="15"/>
        <v/>
      </c>
    </row>
    <row r="909" spans="8:8" x14ac:dyDescent="0.25">
      <c r="H909" s="10" t="str">
        <f t="shared" si="15"/>
        <v/>
      </c>
    </row>
    <row r="910" spans="8:8" x14ac:dyDescent="0.25">
      <c r="H910" s="10" t="str">
        <f t="shared" si="15"/>
        <v/>
      </c>
    </row>
    <row r="911" spans="8:8" x14ac:dyDescent="0.25">
      <c r="H911" s="10" t="str">
        <f t="shared" si="15"/>
        <v/>
      </c>
    </row>
    <row r="912" spans="8:8" x14ac:dyDescent="0.25">
      <c r="H912" s="10" t="str">
        <f t="shared" si="15"/>
        <v/>
      </c>
    </row>
    <row r="913" spans="8:8" x14ac:dyDescent="0.25">
      <c r="H913" s="10" t="str">
        <f t="shared" si="15"/>
        <v/>
      </c>
    </row>
    <row r="914" spans="8:8" x14ac:dyDescent="0.25">
      <c r="H914" s="10" t="str">
        <f t="shared" si="15"/>
        <v/>
      </c>
    </row>
    <row r="915" spans="8:8" x14ac:dyDescent="0.25">
      <c r="H915" s="10" t="str">
        <f t="shared" si="15"/>
        <v/>
      </c>
    </row>
    <row r="916" spans="8:8" x14ac:dyDescent="0.25">
      <c r="H916" s="10" t="str">
        <f t="shared" si="15"/>
        <v/>
      </c>
    </row>
    <row r="917" spans="8:8" x14ac:dyDescent="0.25">
      <c r="H917" s="10" t="str">
        <f t="shared" si="15"/>
        <v/>
      </c>
    </row>
    <row r="918" spans="8:8" x14ac:dyDescent="0.25">
      <c r="H918" s="10" t="str">
        <f t="shared" si="15"/>
        <v/>
      </c>
    </row>
    <row r="919" spans="8:8" x14ac:dyDescent="0.25">
      <c r="H919" s="10" t="str">
        <f t="shared" si="15"/>
        <v/>
      </c>
    </row>
    <row r="920" spans="8:8" x14ac:dyDescent="0.25">
      <c r="H920" s="10" t="str">
        <f t="shared" si="15"/>
        <v/>
      </c>
    </row>
    <row r="921" spans="8:8" x14ac:dyDescent="0.25">
      <c r="H921" s="10" t="str">
        <f t="shared" si="15"/>
        <v/>
      </c>
    </row>
    <row r="922" spans="8:8" x14ac:dyDescent="0.25">
      <c r="H922" s="10" t="str">
        <f t="shared" si="15"/>
        <v/>
      </c>
    </row>
    <row r="923" spans="8:8" x14ac:dyDescent="0.25">
      <c r="H923" s="10" t="str">
        <f t="shared" si="15"/>
        <v/>
      </c>
    </row>
    <row r="924" spans="8:8" x14ac:dyDescent="0.25">
      <c r="H924" s="10" t="str">
        <f t="shared" si="15"/>
        <v/>
      </c>
    </row>
    <row r="925" spans="8:8" x14ac:dyDescent="0.25">
      <c r="H925" s="10" t="str">
        <f t="shared" si="15"/>
        <v/>
      </c>
    </row>
    <row r="926" spans="8:8" x14ac:dyDescent="0.25">
      <c r="H926" s="10" t="str">
        <f t="shared" si="15"/>
        <v/>
      </c>
    </row>
    <row r="927" spans="8:8" x14ac:dyDescent="0.25">
      <c r="H927" s="10" t="str">
        <f t="shared" si="15"/>
        <v/>
      </c>
    </row>
    <row r="928" spans="8:8" x14ac:dyDescent="0.25">
      <c r="H928" s="10" t="str">
        <f t="shared" si="15"/>
        <v/>
      </c>
    </row>
    <row r="929" spans="8:8" x14ac:dyDescent="0.25">
      <c r="H929" s="10" t="str">
        <f t="shared" si="15"/>
        <v/>
      </c>
    </row>
    <row r="930" spans="8:8" x14ac:dyDescent="0.25">
      <c r="H930" s="10" t="str">
        <f t="shared" si="15"/>
        <v/>
      </c>
    </row>
    <row r="931" spans="8:8" x14ac:dyDescent="0.25">
      <c r="H931" s="10" t="str">
        <f t="shared" si="15"/>
        <v/>
      </c>
    </row>
    <row r="932" spans="8:8" x14ac:dyDescent="0.25">
      <c r="H932" s="10" t="str">
        <f t="shared" si="15"/>
        <v/>
      </c>
    </row>
    <row r="933" spans="8:8" x14ac:dyDescent="0.25">
      <c r="H933" s="10" t="str">
        <f t="shared" si="15"/>
        <v/>
      </c>
    </row>
    <row r="934" spans="8:8" x14ac:dyDescent="0.25">
      <c r="H934" s="10" t="str">
        <f t="shared" si="15"/>
        <v/>
      </c>
    </row>
    <row r="935" spans="8:8" x14ac:dyDescent="0.25">
      <c r="H935" s="10" t="str">
        <f t="shared" si="15"/>
        <v/>
      </c>
    </row>
    <row r="936" spans="8:8" x14ac:dyDescent="0.25">
      <c r="H936" s="10" t="str">
        <f t="shared" si="15"/>
        <v/>
      </c>
    </row>
    <row r="937" spans="8:8" x14ac:dyDescent="0.25">
      <c r="H937" s="10" t="str">
        <f t="shared" si="15"/>
        <v/>
      </c>
    </row>
    <row r="938" spans="8:8" x14ac:dyDescent="0.25">
      <c r="H938" s="10" t="str">
        <f t="shared" si="15"/>
        <v/>
      </c>
    </row>
    <row r="939" spans="8:8" x14ac:dyDescent="0.25">
      <c r="H939" s="10" t="str">
        <f t="shared" si="15"/>
        <v/>
      </c>
    </row>
    <row r="940" spans="8:8" x14ac:dyDescent="0.25">
      <c r="H940" s="10" t="str">
        <f t="shared" si="15"/>
        <v/>
      </c>
    </row>
    <row r="941" spans="8:8" x14ac:dyDescent="0.25">
      <c r="H941" s="10" t="str">
        <f t="shared" si="15"/>
        <v/>
      </c>
    </row>
    <row r="942" spans="8:8" x14ac:dyDescent="0.25">
      <c r="H942" s="10" t="str">
        <f t="shared" si="15"/>
        <v/>
      </c>
    </row>
    <row r="943" spans="8:8" x14ac:dyDescent="0.25">
      <c r="H943" s="10" t="str">
        <f t="shared" si="15"/>
        <v/>
      </c>
    </row>
    <row r="944" spans="8:8" x14ac:dyDescent="0.25">
      <c r="H944" s="10" t="str">
        <f t="shared" si="15"/>
        <v/>
      </c>
    </row>
    <row r="945" spans="8:8" x14ac:dyDescent="0.25">
      <c r="H945" s="10" t="str">
        <f t="shared" si="15"/>
        <v/>
      </c>
    </row>
    <row r="946" spans="8:8" x14ac:dyDescent="0.25">
      <c r="H946" s="10" t="str">
        <f t="shared" si="15"/>
        <v/>
      </c>
    </row>
    <row r="947" spans="8:8" x14ac:dyDescent="0.25">
      <c r="H947" s="10" t="str">
        <f t="shared" si="15"/>
        <v/>
      </c>
    </row>
    <row r="948" spans="8:8" x14ac:dyDescent="0.25">
      <c r="H948" s="10" t="str">
        <f t="shared" si="15"/>
        <v/>
      </c>
    </row>
    <row r="949" spans="8:8" x14ac:dyDescent="0.25">
      <c r="H949" s="10" t="str">
        <f t="shared" si="15"/>
        <v/>
      </c>
    </row>
    <row r="950" spans="8:8" x14ac:dyDescent="0.25">
      <c r="H950" s="10" t="str">
        <f t="shared" si="15"/>
        <v/>
      </c>
    </row>
    <row r="951" spans="8:8" x14ac:dyDescent="0.25">
      <c r="H951" s="10" t="str">
        <f t="shared" si="15"/>
        <v/>
      </c>
    </row>
    <row r="952" spans="8:8" x14ac:dyDescent="0.25">
      <c r="H952" s="10" t="str">
        <f t="shared" si="15"/>
        <v/>
      </c>
    </row>
    <row r="953" spans="8:8" x14ac:dyDescent="0.25">
      <c r="H953" s="10" t="str">
        <f t="shared" si="15"/>
        <v/>
      </c>
    </row>
    <row r="954" spans="8:8" x14ac:dyDescent="0.25">
      <c r="H954" s="10" t="str">
        <f t="shared" si="15"/>
        <v/>
      </c>
    </row>
    <row r="955" spans="8:8" x14ac:dyDescent="0.25">
      <c r="H955" s="10" t="str">
        <f t="shared" si="15"/>
        <v/>
      </c>
    </row>
    <row r="956" spans="8:8" x14ac:dyDescent="0.25">
      <c r="H956" s="10" t="str">
        <f t="shared" si="15"/>
        <v/>
      </c>
    </row>
    <row r="957" spans="8:8" x14ac:dyDescent="0.25">
      <c r="H957" s="10" t="str">
        <f t="shared" si="15"/>
        <v/>
      </c>
    </row>
    <row r="958" spans="8:8" x14ac:dyDescent="0.25">
      <c r="H958" s="10" t="str">
        <f t="shared" si="15"/>
        <v/>
      </c>
    </row>
    <row r="959" spans="8:8" x14ac:dyDescent="0.25">
      <c r="H959" s="10" t="str">
        <f t="shared" si="15"/>
        <v/>
      </c>
    </row>
    <row r="960" spans="8:8" x14ac:dyDescent="0.25">
      <c r="H960" s="10" t="str">
        <f t="shared" si="15"/>
        <v/>
      </c>
    </row>
    <row r="961" spans="8:8" x14ac:dyDescent="0.25">
      <c r="H961" s="10" t="str">
        <f t="shared" si="15"/>
        <v/>
      </c>
    </row>
    <row r="962" spans="8:8" x14ac:dyDescent="0.25">
      <c r="H962" s="10" t="str">
        <f t="shared" si="15"/>
        <v/>
      </c>
    </row>
    <row r="963" spans="8:8" x14ac:dyDescent="0.25">
      <c r="H963" s="10" t="str">
        <f t="shared" si="15"/>
        <v/>
      </c>
    </row>
    <row r="964" spans="8:8" x14ac:dyDescent="0.25">
      <c r="H964" s="10" t="str">
        <f t="shared" ref="H964:H1027" si="16">IFERROR(DATEVALUE(C964),"")</f>
        <v/>
      </c>
    </row>
    <row r="965" spans="8:8" x14ac:dyDescent="0.25">
      <c r="H965" s="10" t="str">
        <f t="shared" si="16"/>
        <v/>
      </c>
    </row>
    <row r="966" spans="8:8" x14ac:dyDescent="0.25">
      <c r="H966" s="10" t="str">
        <f t="shared" si="16"/>
        <v/>
      </c>
    </row>
    <row r="967" spans="8:8" x14ac:dyDescent="0.25">
      <c r="H967" s="10" t="str">
        <f t="shared" si="16"/>
        <v/>
      </c>
    </row>
    <row r="968" spans="8:8" x14ac:dyDescent="0.25">
      <c r="H968" s="10" t="str">
        <f t="shared" si="16"/>
        <v/>
      </c>
    </row>
    <row r="969" spans="8:8" x14ac:dyDescent="0.25">
      <c r="H969" s="10" t="str">
        <f t="shared" si="16"/>
        <v/>
      </c>
    </row>
    <row r="970" spans="8:8" x14ac:dyDescent="0.25">
      <c r="H970" s="10" t="str">
        <f t="shared" si="16"/>
        <v/>
      </c>
    </row>
    <row r="971" spans="8:8" x14ac:dyDescent="0.25">
      <c r="H971" s="10" t="str">
        <f t="shared" si="16"/>
        <v/>
      </c>
    </row>
    <row r="972" spans="8:8" x14ac:dyDescent="0.25">
      <c r="H972" s="10" t="str">
        <f t="shared" si="16"/>
        <v/>
      </c>
    </row>
    <row r="973" spans="8:8" x14ac:dyDescent="0.25">
      <c r="H973" s="10" t="str">
        <f t="shared" si="16"/>
        <v/>
      </c>
    </row>
    <row r="974" spans="8:8" x14ac:dyDescent="0.25">
      <c r="H974" s="10" t="str">
        <f t="shared" si="16"/>
        <v/>
      </c>
    </row>
    <row r="975" spans="8:8" x14ac:dyDescent="0.25">
      <c r="H975" s="10" t="str">
        <f t="shared" si="16"/>
        <v/>
      </c>
    </row>
    <row r="976" spans="8:8" x14ac:dyDescent="0.25">
      <c r="H976" s="10" t="str">
        <f t="shared" si="16"/>
        <v/>
      </c>
    </row>
    <row r="977" spans="8:8" x14ac:dyDescent="0.25">
      <c r="H977" s="10" t="str">
        <f t="shared" si="16"/>
        <v/>
      </c>
    </row>
    <row r="978" spans="8:8" x14ac:dyDescent="0.25">
      <c r="H978" s="10" t="str">
        <f t="shared" si="16"/>
        <v/>
      </c>
    </row>
    <row r="979" spans="8:8" x14ac:dyDescent="0.25">
      <c r="H979" s="10" t="str">
        <f t="shared" si="16"/>
        <v/>
      </c>
    </row>
    <row r="980" spans="8:8" x14ac:dyDescent="0.25">
      <c r="H980" s="10" t="str">
        <f t="shared" si="16"/>
        <v/>
      </c>
    </row>
    <row r="981" spans="8:8" x14ac:dyDescent="0.25">
      <c r="H981" s="10" t="str">
        <f t="shared" si="16"/>
        <v/>
      </c>
    </row>
    <row r="982" spans="8:8" x14ac:dyDescent="0.25">
      <c r="H982" s="10" t="str">
        <f t="shared" si="16"/>
        <v/>
      </c>
    </row>
    <row r="983" spans="8:8" x14ac:dyDescent="0.25">
      <c r="H983" s="10" t="str">
        <f t="shared" si="16"/>
        <v/>
      </c>
    </row>
    <row r="984" spans="8:8" x14ac:dyDescent="0.25">
      <c r="H984" s="10" t="str">
        <f t="shared" si="16"/>
        <v/>
      </c>
    </row>
    <row r="985" spans="8:8" x14ac:dyDescent="0.25">
      <c r="H985" s="10" t="str">
        <f t="shared" si="16"/>
        <v/>
      </c>
    </row>
    <row r="986" spans="8:8" x14ac:dyDescent="0.25">
      <c r="H986" s="10" t="str">
        <f t="shared" si="16"/>
        <v/>
      </c>
    </row>
    <row r="987" spans="8:8" x14ac:dyDescent="0.25">
      <c r="H987" s="10" t="str">
        <f t="shared" si="16"/>
        <v/>
      </c>
    </row>
    <row r="988" spans="8:8" x14ac:dyDescent="0.25">
      <c r="H988" s="10" t="str">
        <f t="shared" si="16"/>
        <v/>
      </c>
    </row>
    <row r="989" spans="8:8" x14ac:dyDescent="0.25">
      <c r="H989" s="10" t="str">
        <f t="shared" si="16"/>
        <v/>
      </c>
    </row>
    <row r="990" spans="8:8" x14ac:dyDescent="0.25">
      <c r="H990" s="10" t="str">
        <f t="shared" si="16"/>
        <v/>
      </c>
    </row>
    <row r="991" spans="8:8" x14ac:dyDescent="0.25">
      <c r="H991" s="10" t="str">
        <f t="shared" si="16"/>
        <v/>
      </c>
    </row>
    <row r="992" spans="8:8" x14ac:dyDescent="0.25">
      <c r="H992" s="10" t="str">
        <f t="shared" si="16"/>
        <v/>
      </c>
    </row>
    <row r="993" spans="8:8" x14ac:dyDescent="0.25">
      <c r="H993" s="10" t="str">
        <f t="shared" si="16"/>
        <v/>
      </c>
    </row>
    <row r="994" spans="8:8" x14ac:dyDescent="0.25">
      <c r="H994" s="10" t="str">
        <f t="shared" si="16"/>
        <v/>
      </c>
    </row>
    <row r="995" spans="8:8" x14ac:dyDescent="0.25">
      <c r="H995" s="10" t="str">
        <f t="shared" si="16"/>
        <v/>
      </c>
    </row>
    <row r="996" spans="8:8" x14ac:dyDescent="0.25">
      <c r="H996" s="10" t="str">
        <f t="shared" si="16"/>
        <v/>
      </c>
    </row>
    <row r="997" spans="8:8" x14ac:dyDescent="0.25">
      <c r="H997" s="10" t="str">
        <f t="shared" si="16"/>
        <v/>
      </c>
    </row>
    <row r="998" spans="8:8" x14ac:dyDescent="0.25">
      <c r="H998" s="10" t="str">
        <f t="shared" si="16"/>
        <v/>
      </c>
    </row>
    <row r="999" spans="8:8" x14ac:dyDescent="0.25">
      <c r="H999" s="10" t="str">
        <f t="shared" si="16"/>
        <v/>
      </c>
    </row>
    <row r="1000" spans="8:8" x14ac:dyDescent="0.25">
      <c r="H1000" s="10" t="str">
        <f t="shared" si="16"/>
        <v/>
      </c>
    </row>
    <row r="1001" spans="8:8" x14ac:dyDescent="0.25">
      <c r="H1001" s="10" t="str">
        <f t="shared" si="16"/>
        <v/>
      </c>
    </row>
    <row r="1002" spans="8:8" x14ac:dyDescent="0.25">
      <c r="H1002" s="10" t="str">
        <f t="shared" si="16"/>
        <v/>
      </c>
    </row>
    <row r="1003" spans="8:8" x14ac:dyDescent="0.25">
      <c r="H1003" s="10" t="str">
        <f t="shared" si="16"/>
        <v/>
      </c>
    </row>
    <row r="1004" spans="8:8" x14ac:dyDescent="0.25">
      <c r="H1004" s="10" t="str">
        <f t="shared" si="16"/>
        <v/>
      </c>
    </row>
    <row r="1005" spans="8:8" x14ac:dyDescent="0.25">
      <c r="H1005" s="10" t="str">
        <f t="shared" si="16"/>
        <v/>
      </c>
    </row>
    <row r="1006" spans="8:8" x14ac:dyDescent="0.25">
      <c r="H1006" s="10" t="str">
        <f t="shared" si="16"/>
        <v/>
      </c>
    </row>
    <row r="1007" spans="8:8" x14ac:dyDescent="0.25">
      <c r="H1007" s="10" t="str">
        <f t="shared" si="16"/>
        <v/>
      </c>
    </row>
    <row r="1008" spans="8:8" x14ac:dyDescent="0.25">
      <c r="H1008" s="10" t="str">
        <f t="shared" si="16"/>
        <v/>
      </c>
    </row>
    <row r="1009" spans="8:8" x14ac:dyDescent="0.25">
      <c r="H1009" s="10" t="str">
        <f t="shared" si="16"/>
        <v/>
      </c>
    </row>
    <row r="1010" spans="8:8" x14ac:dyDescent="0.25">
      <c r="H1010" s="10" t="str">
        <f t="shared" si="16"/>
        <v/>
      </c>
    </row>
    <row r="1011" spans="8:8" x14ac:dyDescent="0.25">
      <c r="H1011" s="10" t="str">
        <f t="shared" si="16"/>
        <v/>
      </c>
    </row>
    <row r="1012" spans="8:8" x14ac:dyDescent="0.25">
      <c r="H1012" s="10" t="str">
        <f t="shared" si="16"/>
        <v/>
      </c>
    </row>
    <row r="1013" spans="8:8" x14ac:dyDescent="0.25">
      <c r="H1013" s="10" t="str">
        <f t="shared" si="16"/>
        <v/>
      </c>
    </row>
    <row r="1014" spans="8:8" x14ac:dyDescent="0.25">
      <c r="H1014" s="10" t="str">
        <f t="shared" si="16"/>
        <v/>
      </c>
    </row>
    <row r="1015" spans="8:8" x14ac:dyDescent="0.25">
      <c r="H1015" s="10" t="str">
        <f t="shared" si="16"/>
        <v/>
      </c>
    </row>
    <row r="1016" spans="8:8" x14ac:dyDescent="0.25">
      <c r="H1016" s="10" t="str">
        <f t="shared" si="16"/>
        <v/>
      </c>
    </row>
    <row r="1017" spans="8:8" x14ac:dyDescent="0.25">
      <c r="H1017" s="10" t="str">
        <f t="shared" si="16"/>
        <v/>
      </c>
    </row>
    <row r="1018" spans="8:8" x14ac:dyDescent="0.25">
      <c r="H1018" s="10" t="str">
        <f t="shared" si="16"/>
        <v/>
      </c>
    </row>
    <row r="1019" spans="8:8" x14ac:dyDescent="0.25">
      <c r="H1019" s="10" t="str">
        <f t="shared" si="16"/>
        <v/>
      </c>
    </row>
    <row r="1020" spans="8:8" x14ac:dyDescent="0.25">
      <c r="H1020" s="10" t="str">
        <f t="shared" si="16"/>
        <v/>
      </c>
    </row>
    <row r="1021" spans="8:8" x14ac:dyDescent="0.25">
      <c r="H1021" s="10" t="str">
        <f t="shared" si="16"/>
        <v/>
      </c>
    </row>
    <row r="1022" spans="8:8" x14ac:dyDescent="0.25">
      <c r="H1022" s="10" t="str">
        <f t="shared" si="16"/>
        <v/>
      </c>
    </row>
    <row r="1023" spans="8:8" x14ac:dyDescent="0.25">
      <c r="H1023" s="10" t="str">
        <f t="shared" si="16"/>
        <v/>
      </c>
    </row>
    <row r="1024" spans="8:8" x14ac:dyDescent="0.25">
      <c r="H1024" s="10" t="str">
        <f t="shared" si="16"/>
        <v/>
      </c>
    </row>
    <row r="1025" spans="8:8" x14ac:dyDescent="0.25">
      <c r="H1025" s="10" t="str">
        <f t="shared" si="16"/>
        <v/>
      </c>
    </row>
    <row r="1026" spans="8:8" x14ac:dyDescent="0.25">
      <c r="H1026" s="10" t="str">
        <f t="shared" si="16"/>
        <v/>
      </c>
    </row>
    <row r="1027" spans="8:8" x14ac:dyDescent="0.25">
      <c r="H1027" s="10" t="str">
        <f t="shared" si="16"/>
        <v/>
      </c>
    </row>
    <row r="1028" spans="8:8" x14ac:dyDescent="0.25">
      <c r="H1028" s="10" t="str">
        <f t="shared" ref="H1028:H1091" si="17">IFERROR(DATEVALUE(C1028),"")</f>
        <v/>
      </c>
    </row>
    <row r="1029" spans="8:8" x14ac:dyDescent="0.25">
      <c r="H1029" s="10" t="str">
        <f t="shared" si="17"/>
        <v/>
      </c>
    </row>
    <row r="1030" spans="8:8" x14ac:dyDescent="0.25">
      <c r="H1030" s="10" t="str">
        <f t="shared" si="17"/>
        <v/>
      </c>
    </row>
    <row r="1031" spans="8:8" x14ac:dyDescent="0.25">
      <c r="H1031" s="10" t="str">
        <f t="shared" si="17"/>
        <v/>
      </c>
    </row>
    <row r="1032" spans="8:8" x14ac:dyDescent="0.25">
      <c r="H1032" s="10" t="str">
        <f t="shared" si="17"/>
        <v/>
      </c>
    </row>
    <row r="1033" spans="8:8" x14ac:dyDescent="0.25">
      <c r="H1033" s="10" t="str">
        <f t="shared" si="17"/>
        <v/>
      </c>
    </row>
    <row r="1034" spans="8:8" x14ac:dyDescent="0.25">
      <c r="H1034" s="10" t="str">
        <f t="shared" si="17"/>
        <v/>
      </c>
    </row>
    <row r="1035" spans="8:8" x14ac:dyDescent="0.25">
      <c r="H1035" s="10" t="str">
        <f t="shared" si="17"/>
        <v/>
      </c>
    </row>
    <row r="1036" spans="8:8" x14ac:dyDescent="0.25">
      <c r="H1036" s="10" t="str">
        <f t="shared" si="17"/>
        <v/>
      </c>
    </row>
    <row r="1037" spans="8:8" x14ac:dyDescent="0.25">
      <c r="H1037" s="10" t="str">
        <f t="shared" si="17"/>
        <v/>
      </c>
    </row>
    <row r="1038" spans="8:8" x14ac:dyDescent="0.25">
      <c r="H1038" s="10" t="str">
        <f t="shared" si="17"/>
        <v/>
      </c>
    </row>
    <row r="1039" spans="8:8" x14ac:dyDescent="0.25">
      <c r="H1039" s="10" t="str">
        <f t="shared" si="17"/>
        <v/>
      </c>
    </row>
    <row r="1040" spans="8:8" x14ac:dyDescent="0.25">
      <c r="H1040" s="10" t="str">
        <f t="shared" si="17"/>
        <v/>
      </c>
    </row>
    <row r="1041" spans="8:8" x14ac:dyDescent="0.25">
      <c r="H1041" s="10" t="str">
        <f t="shared" si="17"/>
        <v/>
      </c>
    </row>
    <row r="1042" spans="8:8" x14ac:dyDescent="0.25">
      <c r="H1042" s="10" t="str">
        <f t="shared" si="17"/>
        <v/>
      </c>
    </row>
    <row r="1043" spans="8:8" x14ac:dyDescent="0.25">
      <c r="H1043" s="10" t="str">
        <f t="shared" si="17"/>
        <v/>
      </c>
    </row>
    <row r="1044" spans="8:8" x14ac:dyDescent="0.25">
      <c r="H1044" s="10" t="str">
        <f t="shared" si="17"/>
        <v/>
      </c>
    </row>
    <row r="1045" spans="8:8" x14ac:dyDescent="0.25">
      <c r="H1045" s="10" t="str">
        <f t="shared" si="17"/>
        <v/>
      </c>
    </row>
    <row r="1046" spans="8:8" x14ac:dyDescent="0.25">
      <c r="H1046" s="10" t="str">
        <f t="shared" si="17"/>
        <v/>
      </c>
    </row>
    <row r="1047" spans="8:8" x14ac:dyDescent="0.25">
      <c r="H1047" s="10" t="str">
        <f t="shared" si="17"/>
        <v/>
      </c>
    </row>
    <row r="1048" spans="8:8" x14ac:dyDescent="0.25">
      <c r="H1048" s="10" t="str">
        <f t="shared" si="17"/>
        <v/>
      </c>
    </row>
    <row r="1049" spans="8:8" x14ac:dyDescent="0.25">
      <c r="H1049" s="10" t="str">
        <f t="shared" si="17"/>
        <v/>
      </c>
    </row>
    <row r="1050" spans="8:8" x14ac:dyDescent="0.25">
      <c r="H1050" s="10" t="str">
        <f t="shared" si="17"/>
        <v/>
      </c>
    </row>
    <row r="1051" spans="8:8" x14ac:dyDescent="0.25">
      <c r="H1051" s="10" t="str">
        <f t="shared" si="17"/>
        <v/>
      </c>
    </row>
    <row r="1052" spans="8:8" x14ac:dyDescent="0.25">
      <c r="H1052" s="10" t="str">
        <f t="shared" si="17"/>
        <v/>
      </c>
    </row>
    <row r="1053" spans="8:8" x14ac:dyDescent="0.25">
      <c r="H1053" s="10" t="str">
        <f t="shared" si="17"/>
        <v/>
      </c>
    </row>
    <row r="1054" spans="8:8" x14ac:dyDescent="0.25">
      <c r="H1054" s="10" t="str">
        <f t="shared" si="17"/>
        <v/>
      </c>
    </row>
    <row r="1055" spans="8:8" x14ac:dyDescent="0.25">
      <c r="H1055" s="10" t="str">
        <f t="shared" si="17"/>
        <v/>
      </c>
    </row>
    <row r="1056" spans="8:8" x14ac:dyDescent="0.25">
      <c r="H1056" s="10" t="str">
        <f t="shared" si="17"/>
        <v/>
      </c>
    </row>
    <row r="1057" spans="8:8" x14ac:dyDescent="0.25">
      <c r="H1057" s="10" t="str">
        <f t="shared" si="17"/>
        <v/>
      </c>
    </row>
    <row r="1058" spans="8:8" x14ac:dyDescent="0.25">
      <c r="H1058" s="10" t="str">
        <f t="shared" si="17"/>
        <v/>
      </c>
    </row>
    <row r="1059" spans="8:8" x14ac:dyDescent="0.25">
      <c r="H1059" s="10" t="str">
        <f t="shared" si="17"/>
        <v/>
      </c>
    </row>
    <row r="1060" spans="8:8" x14ac:dyDescent="0.25">
      <c r="H1060" s="10" t="str">
        <f t="shared" si="17"/>
        <v/>
      </c>
    </row>
    <row r="1061" spans="8:8" x14ac:dyDescent="0.25">
      <c r="H1061" s="10" t="str">
        <f t="shared" si="17"/>
        <v/>
      </c>
    </row>
    <row r="1062" spans="8:8" x14ac:dyDescent="0.25">
      <c r="H1062" s="10" t="str">
        <f t="shared" si="17"/>
        <v/>
      </c>
    </row>
    <row r="1063" spans="8:8" x14ac:dyDescent="0.25">
      <c r="H1063" s="10" t="str">
        <f t="shared" si="17"/>
        <v/>
      </c>
    </row>
    <row r="1064" spans="8:8" x14ac:dyDescent="0.25">
      <c r="H1064" s="10" t="str">
        <f t="shared" si="17"/>
        <v/>
      </c>
    </row>
    <row r="1065" spans="8:8" x14ac:dyDescent="0.25">
      <c r="H1065" s="10" t="str">
        <f t="shared" si="17"/>
        <v/>
      </c>
    </row>
    <row r="1066" spans="8:8" x14ac:dyDescent="0.25">
      <c r="H1066" s="10" t="str">
        <f t="shared" si="17"/>
        <v/>
      </c>
    </row>
    <row r="1067" spans="8:8" x14ac:dyDescent="0.25">
      <c r="H1067" s="10" t="str">
        <f t="shared" si="17"/>
        <v/>
      </c>
    </row>
    <row r="1068" spans="8:8" x14ac:dyDescent="0.25">
      <c r="H1068" s="10" t="str">
        <f t="shared" si="17"/>
        <v/>
      </c>
    </row>
    <row r="1069" spans="8:8" x14ac:dyDescent="0.25">
      <c r="H1069" s="10" t="str">
        <f t="shared" si="17"/>
        <v/>
      </c>
    </row>
    <row r="1070" spans="8:8" x14ac:dyDescent="0.25">
      <c r="H1070" s="10" t="str">
        <f t="shared" si="17"/>
        <v/>
      </c>
    </row>
    <row r="1071" spans="8:8" x14ac:dyDescent="0.25">
      <c r="H1071" s="10" t="str">
        <f t="shared" si="17"/>
        <v/>
      </c>
    </row>
    <row r="1072" spans="8:8" x14ac:dyDescent="0.25">
      <c r="H1072" s="10" t="str">
        <f t="shared" si="17"/>
        <v/>
      </c>
    </row>
    <row r="1073" spans="8:8" x14ac:dyDescent="0.25">
      <c r="H1073" s="10" t="str">
        <f t="shared" si="17"/>
        <v/>
      </c>
    </row>
    <row r="1074" spans="8:8" x14ac:dyDescent="0.25">
      <c r="H1074" s="10" t="str">
        <f t="shared" si="17"/>
        <v/>
      </c>
    </row>
    <row r="1075" spans="8:8" x14ac:dyDescent="0.25">
      <c r="H1075" s="10" t="str">
        <f t="shared" si="17"/>
        <v/>
      </c>
    </row>
    <row r="1076" spans="8:8" x14ac:dyDescent="0.25">
      <c r="H1076" s="10" t="str">
        <f t="shared" si="17"/>
        <v/>
      </c>
    </row>
    <row r="1077" spans="8:8" x14ac:dyDescent="0.25">
      <c r="H1077" s="10" t="str">
        <f t="shared" si="17"/>
        <v/>
      </c>
    </row>
    <row r="1078" spans="8:8" x14ac:dyDescent="0.25">
      <c r="H1078" s="10" t="str">
        <f t="shared" si="17"/>
        <v/>
      </c>
    </row>
    <row r="1079" spans="8:8" x14ac:dyDescent="0.25">
      <c r="H1079" s="10" t="str">
        <f t="shared" si="17"/>
        <v/>
      </c>
    </row>
    <row r="1080" spans="8:8" x14ac:dyDescent="0.25">
      <c r="H1080" s="10" t="str">
        <f t="shared" si="17"/>
        <v/>
      </c>
    </row>
    <row r="1081" spans="8:8" x14ac:dyDescent="0.25">
      <c r="H1081" s="10" t="str">
        <f t="shared" si="17"/>
        <v/>
      </c>
    </row>
    <row r="1082" spans="8:8" x14ac:dyDescent="0.25">
      <c r="H1082" s="10" t="str">
        <f t="shared" si="17"/>
        <v/>
      </c>
    </row>
    <row r="1083" spans="8:8" x14ac:dyDescent="0.25">
      <c r="H1083" s="10" t="str">
        <f t="shared" si="17"/>
        <v/>
      </c>
    </row>
    <row r="1084" spans="8:8" x14ac:dyDescent="0.25">
      <c r="H1084" s="10" t="str">
        <f t="shared" si="17"/>
        <v/>
      </c>
    </row>
    <row r="1085" spans="8:8" x14ac:dyDescent="0.25">
      <c r="H1085" s="10" t="str">
        <f t="shared" si="17"/>
        <v/>
      </c>
    </row>
    <row r="1086" spans="8:8" x14ac:dyDescent="0.25">
      <c r="H1086" s="10" t="str">
        <f t="shared" si="17"/>
        <v/>
      </c>
    </row>
    <row r="1087" spans="8:8" x14ac:dyDescent="0.25">
      <c r="H1087" s="10" t="str">
        <f t="shared" si="17"/>
        <v/>
      </c>
    </row>
    <row r="1088" spans="8:8" x14ac:dyDescent="0.25">
      <c r="H1088" s="10" t="str">
        <f t="shared" si="17"/>
        <v/>
      </c>
    </row>
    <row r="1089" spans="8:8" x14ac:dyDescent="0.25">
      <c r="H1089" s="10" t="str">
        <f t="shared" si="17"/>
        <v/>
      </c>
    </row>
    <row r="1090" spans="8:8" x14ac:dyDescent="0.25">
      <c r="H1090" s="10" t="str">
        <f t="shared" si="17"/>
        <v/>
      </c>
    </row>
    <row r="1091" spans="8:8" x14ac:dyDescent="0.25">
      <c r="H1091" s="10" t="str">
        <f t="shared" si="17"/>
        <v/>
      </c>
    </row>
    <row r="1092" spans="8:8" x14ac:dyDescent="0.25">
      <c r="H1092" s="10" t="str">
        <f t="shared" ref="H1092:H1155" si="18">IFERROR(DATEVALUE(C1092),"")</f>
        <v/>
      </c>
    </row>
    <row r="1093" spans="8:8" x14ac:dyDescent="0.25">
      <c r="H1093" s="10" t="str">
        <f t="shared" si="18"/>
        <v/>
      </c>
    </row>
    <row r="1094" spans="8:8" x14ac:dyDescent="0.25">
      <c r="H1094" s="10" t="str">
        <f t="shared" si="18"/>
        <v/>
      </c>
    </row>
    <row r="1095" spans="8:8" x14ac:dyDescent="0.25">
      <c r="H1095" s="10" t="str">
        <f t="shared" si="18"/>
        <v/>
      </c>
    </row>
    <row r="1096" spans="8:8" x14ac:dyDescent="0.25">
      <c r="H1096" s="10" t="str">
        <f t="shared" si="18"/>
        <v/>
      </c>
    </row>
    <row r="1097" spans="8:8" x14ac:dyDescent="0.25">
      <c r="H1097" s="10" t="str">
        <f t="shared" si="18"/>
        <v/>
      </c>
    </row>
    <row r="1098" spans="8:8" x14ac:dyDescent="0.25">
      <c r="H1098" s="10" t="str">
        <f t="shared" si="18"/>
        <v/>
      </c>
    </row>
    <row r="1099" spans="8:8" x14ac:dyDescent="0.25">
      <c r="H1099" s="10" t="str">
        <f t="shared" si="18"/>
        <v/>
      </c>
    </row>
    <row r="1100" spans="8:8" x14ac:dyDescent="0.25">
      <c r="H1100" s="10" t="str">
        <f t="shared" si="18"/>
        <v/>
      </c>
    </row>
    <row r="1101" spans="8:8" x14ac:dyDescent="0.25">
      <c r="H1101" s="10" t="str">
        <f t="shared" si="18"/>
        <v/>
      </c>
    </row>
    <row r="1102" spans="8:8" x14ac:dyDescent="0.25">
      <c r="H1102" s="10" t="str">
        <f t="shared" si="18"/>
        <v/>
      </c>
    </row>
    <row r="1103" spans="8:8" x14ac:dyDescent="0.25">
      <c r="H1103" s="10" t="str">
        <f t="shared" si="18"/>
        <v/>
      </c>
    </row>
    <row r="1104" spans="8:8" x14ac:dyDescent="0.25">
      <c r="H1104" s="10" t="str">
        <f t="shared" si="18"/>
        <v/>
      </c>
    </row>
    <row r="1105" spans="8:8" x14ac:dyDescent="0.25">
      <c r="H1105" s="10" t="str">
        <f t="shared" si="18"/>
        <v/>
      </c>
    </row>
    <row r="1106" spans="8:8" x14ac:dyDescent="0.25">
      <c r="H1106" s="10" t="str">
        <f t="shared" si="18"/>
        <v/>
      </c>
    </row>
    <row r="1107" spans="8:8" x14ac:dyDescent="0.25">
      <c r="H1107" s="10" t="str">
        <f t="shared" si="18"/>
        <v/>
      </c>
    </row>
    <row r="1108" spans="8:8" x14ac:dyDescent="0.25">
      <c r="H1108" s="10" t="str">
        <f t="shared" si="18"/>
        <v/>
      </c>
    </row>
    <row r="1109" spans="8:8" x14ac:dyDescent="0.25">
      <c r="H1109" s="10" t="str">
        <f t="shared" si="18"/>
        <v/>
      </c>
    </row>
    <row r="1110" spans="8:8" x14ac:dyDescent="0.25">
      <c r="H1110" s="10" t="str">
        <f t="shared" si="18"/>
        <v/>
      </c>
    </row>
    <row r="1111" spans="8:8" x14ac:dyDescent="0.25">
      <c r="H1111" s="10" t="str">
        <f t="shared" si="18"/>
        <v/>
      </c>
    </row>
    <row r="1112" spans="8:8" x14ac:dyDescent="0.25">
      <c r="H1112" s="10" t="str">
        <f t="shared" si="18"/>
        <v/>
      </c>
    </row>
    <row r="1113" spans="8:8" x14ac:dyDescent="0.25">
      <c r="H1113" s="10" t="str">
        <f t="shared" si="18"/>
        <v/>
      </c>
    </row>
    <row r="1114" spans="8:8" x14ac:dyDescent="0.25">
      <c r="H1114" s="10" t="str">
        <f t="shared" si="18"/>
        <v/>
      </c>
    </row>
    <row r="1115" spans="8:8" x14ac:dyDescent="0.25">
      <c r="H1115" s="10" t="str">
        <f t="shared" si="18"/>
        <v/>
      </c>
    </row>
    <row r="1116" spans="8:8" x14ac:dyDescent="0.25">
      <c r="H1116" s="10" t="str">
        <f t="shared" si="18"/>
        <v/>
      </c>
    </row>
    <row r="1117" spans="8:8" x14ac:dyDescent="0.25">
      <c r="H1117" s="10" t="str">
        <f t="shared" si="18"/>
        <v/>
      </c>
    </row>
    <row r="1118" spans="8:8" x14ac:dyDescent="0.25">
      <c r="H1118" s="10" t="str">
        <f t="shared" si="18"/>
        <v/>
      </c>
    </row>
    <row r="1119" spans="8:8" x14ac:dyDescent="0.25">
      <c r="H1119" s="10" t="str">
        <f t="shared" si="18"/>
        <v/>
      </c>
    </row>
    <row r="1120" spans="8:8" x14ac:dyDescent="0.25">
      <c r="H1120" s="10" t="str">
        <f t="shared" si="18"/>
        <v/>
      </c>
    </row>
    <row r="1121" spans="8:8" x14ac:dyDescent="0.25">
      <c r="H1121" s="10" t="str">
        <f t="shared" si="18"/>
        <v/>
      </c>
    </row>
    <row r="1122" spans="8:8" x14ac:dyDescent="0.25">
      <c r="H1122" s="10" t="str">
        <f t="shared" si="18"/>
        <v/>
      </c>
    </row>
    <row r="1123" spans="8:8" x14ac:dyDescent="0.25">
      <c r="H1123" s="10" t="str">
        <f t="shared" si="18"/>
        <v/>
      </c>
    </row>
    <row r="1124" spans="8:8" x14ac:dyDescent="0.25">
      <c r="H1124" s="10" t="str">
        <f t="shared" si="18"/>
        <v/>
      </c>
    </row>
    <row r="1125" spans="8:8" x14ac:dyDescent="0.25">
      <c r="H1125" s="10" t="str">
        <f t="shared" si="18"/>
        <v/>
      </c>
    </row>
    <row r="1126" spans="8:8" x14ac:dyDescent="0.25">
      <c r="H1126" s="10" t="str">
        <f t="shared" si="18"/>
        <v/>
      </c>
    </row>
    <row r="1127" spans="8:8" x14ac:dyDescent="0.25">
      <c r="H1127" s="10" t="str">
        <f t="shared" si="18"/>
        <v/>
      </c>
    </row>
    <row r="1128" spans="8:8" x14ac:dyDescent="0.25">
      <c r="H1128" s="10" t="str">
        <f t="shared" si="18"/>
        <v/>
      </c>
    </row>
    <row r="1129" spans="8:8" x14ac:dyDescent="0.25">
      <c r="H1129" s="10" t="str">
        <f t="shared" si="18"/>
        <v/>
      </c>
    </row>
    <row r="1130" spans="8:8" x14ac:dyDescent="0.25">
      <c r="H1130" s="10" t="str">
        <f t="shared" si="18"/>
        <v/>
      </c>
    </row>
    <row r="1131" spans="8:8" x14ac:dyDescent="0.25">
      <c r="H1131" s="10" t="str">
        <f t="shared" si="18"/>
        <v/>
      </c>
    </row>
    <row r="1132" spans="8:8" x14ac:dyDescent="0.25">
      <c r="H1132" s="10" t="str">
        <f t="shared" si="18"/>
        <v/>
      </c>
    </row>
    <row r="1133" spans="8:8" x14ac:dyDescent="0.25">
      <c r="H1133" s="10" t="str">
        <f t="shared" si="18"/>
        <v/>
      </c>
    </row>
    <row r="1134" spans="8:8" x14ac:dyDescent="0.25">
      <c r="H1134" s="10" t="str">
        <f t="shared" si="18"/>
        <v/>
      </c>
    </row>
    <row r="1135" spans="8:8" x14ac:dyDescent="0.25">
      <c r="H1135" s="10" t="str">
        <f t="shared" si="18"/>
        <v/>
      </c>
    </row>
    <row r="1136" spans="8:8" x14ac:dyDescent="0.25">
      <c r="H1136" s="10" t="str">
        <f t="shared" si="18"/>
        <v/>
      </c>
    </row>
    <row r="1137" spans="8:8" x14ac:dyDescent="0.25">
      <c r="H1137" s="10" t="str">
        <f t="shared" si="18"/>
        <v/>
      </c>
    </row>
    <row r="1138" spans="8:8" x14ac:dyDescent="0.25">
      <c r="H1138" s="10" t="str">
        <f t="shared" si="18"/>
        <v/>
      </c>
    </row>
    <row r="1139" spans="8:8" x14ac:dyDescent="0.25">
      <c r="H1139" s="10" t="str">
        <f t="shared" si="18"/>
        <v/>
      </c>
    </row>
    <row r="1140" spans="8:8" x14ac:dyDescent="0.25">
      <c r="H1140" s="10" t="str">
        <f t="shared" si="18"/>
        <v/>
      </c>
    </row>
    <row r="1141" spans="8:8" x14ac:dyDescent="0.25">
      <c r="H1141" s="10" t="str">
        <f t="shared" si="18"/>
        <v/>
      </c>
    </row>
    <row r="1142" spans="8:8" x14ac:dyDescent="0.25">
      <c r="H1142" s="10" t="str">
        <f t="shared" si="18"/>
        <v/>
      </c>
    </row>
    <row r="1143" spans="8:8" x14ac:dyDescent="0.25">
      <c r="H1143" s="10" t="str">
        <f t="shared" si="18"/>
        <v/>
      </c>
    </row>
    <row r="1144" spans="8:8" x14ac:dyDescent="0.25">
      <c r="H1144" s="10" t="str">
        <f t="shared" si="18"/>
        <v/>
      </c>
    </row>
    <row r="1145" spans="8:8" x14ac:dyDescent="0.25">
      <c r="H1145" s="10" t="str">
        <f t="shared" si="18"/>
        <v/>
      </c>
    </row>
    <row r="1146" spans="8:8" x14ac:dyDescent="0.25">
      <c r="H1146" s="10" t="str">
        <f t="shared" si="18"/>
        <v/>
      </c>
    </row>
    <row r="1147" spans="8:8" x14ac:dyDescent="0.25">
      <c r="H1147" s="10" t="str">
        <f t="shared" si="18"/>
        <v/>
      </c>
    </row>
    <row r="1148" spans="8:8" x14ac:dyDescent="0.25">
      <c r="H1148" s="10" t="str">
        <f t="shared" si="18"/>
        <v/>
      </c>
    </row>
    <row r="1149" spans="8:8" x14ac:dyDescent="0.25">
      <c r="H1149" s="10" t="str">
        <f t="shared" si="18"/>
        <v/>
      </c>
    </row>
    <row r="1150" spans="8:8" x14ac:dyDescent="0.25">
      <c r="H1150" s="10" t="str">
        <f t="shared" si="18"/>
        <v/>
      </c>
    </row>
    <row r="1151" spans="8:8" x14ac:dyDescent="0.25">
      <c r="H1151" s="10" t="str">
        <f t="shared" si="18"/>
        <v/>
      </c>
    </row>
    <row r="1152" spans="8:8" x14ac:dyDescent="0.25">
      <c r="H1152" s="10" t="str">
        <f t="shared" si="18"/>
        <v/>
      </c>
    </row>
    <row r="1153" spans="8:8" x14ac:dyDescent="0.25">
      <c r="H1153" s="10" t="str">
        <f t="shared" si="18"/>
        <v/>
      </c>
    </row>
    <row r="1154" spans="8:8" x14ac:dyDescent="0.25">
      <c r="H1154" s="10" t="str">
        <f t="shared" si="18"/>
        <v/>
      </c>
    </row>
    <row r="1155" spans="8:8" x14ac:dyDescent="0.25">
      <c r="H1155" s="10" t="str">
        <f t="shared" si="18"/>
        <v/>
      </c>
    </row>
    <row r="1156" spans="8:8" x14ac:dyDescent="0.25">
      <c r="H1156" s="10" t="str">
        <f t="shared" ref="H1156:H1219" si="19">IFERROR(DATEVALUE(C1156),"")</f>
        <v/>
      </c>
    </row>
    <row r="1157" spans="8:8" x14ac:dyDescent="0.25">
      <c r="H1157" s="10" t="str">
        <f t="shared" si="19"/>
        <v/>
      </c>
    </row>
    <row r="1158" spans="8:8" x14ac:dyDescent="0.25">
      <c r="H1158" s="10" t="str">
        <f t="shared" si="19"/>
        <v/>
      </c>
    </row>
    <row r="1159" spans="8:8" x14ac:dyDescent="0.25">
      <c r="H1159" s="10" t="str">
        <f t="shared" si="19"/>
        <v/>
      </c>
    </row>
    <row r="1160" spans="8:8" x14ac:dyDescent="0.25">
      <c r="H1160" s="10" t="str">
        <f t="shared" si="19"/>
        <v/>
      </c>
    </row>
    <row r="1161" spans="8:8" x14ac:dyDescent="0.25">
      <c r="H1161" s="10" t="str">
        <f t="shared" si="19"/>
        <v/>
      </c>
    </row>
    <row r="1162" spans="8:8" x14ac:dyDescent="0.25">
      <c r="H1162" s="10" t="str">
        <f t="shared" si="19"/>
        <v/>
      </c>
    </row>
    <row r="1163" spans="8:8" x14ac:dyDescent="0.25">
      <c r="H1163" s="10" t="str">
        <f t="shared" si="19"/>
        <v/>
      </c>
    </row>
    <row r="1164" spans="8:8" x14ac:dyDescent="0.25">
      <c r="H1164" s="10" t="str">
        <f t="shared" si="19"/>
        <v/>
      </c>
    </row>
    <row r="1165" spans="8:8" x14ac:dyDescent="0.25">
      <c r="H1165" s="10" t="str">
        <f t="shared" si="19"/>
        <v/>
      </c>
    </row>
    <row r="1166" spans="8:8" x14ac:dyDescent="0.25">
      <c r="H1166" s="10" t="str">
        <f t="shared" si="19"/>
        <v/>
      </c>
    </row>
    <row r="1167" spans="8:8" x14ac:dyDescent="0.25">
      <c r="H1167" s="10" t="str">
        <f t="shared" si="19"/>
        <v/>
      </c>
    </row>
    <row r="1168" spans="8:8" x14ac:dyDescent="0.25">
      <c r="H1168" s="10" t="str">
        <f t="shared" si="19"/>
        <v/>
      </c>
    </row>
    <row r="1169" spans="8:8" x14ac:dyDescent="0.25">
      <c r="H1169" s="10" t="str">
        <f t="shared" si="19"/>
        <v/>
      </c>
    </row>
    <row r="1170" spans="8:8" x14ac:dyDescent="0.25">
      <c r="H1170" s="10" t="str">
        <f t="shared" si="19"/>
        <v/>
      </c>
    </row>
    <row r="1171" spans="8:8" x14ac:dyDescent="0.25">
      <c r="H1171" s="10" t="str">
        <f t="shared" si="19"/>
        <v/>
      </c>
    </row>
    <row r="1172" spans="8:8" x14ac:dyDescent="0.25">
      <c r="H1172" s="10" t="str">
        <f t="shared" si="19"/>
        <v/>
      </c>
    </row>
    <row r="1173" spans="8:8" x14ac:dyDescent="0.25">
      <c r="H1173" s="10" t="str">
        <f t="shared" si="19"/>
        <v/>
      </c>
    </row>
    <row r="1174" spans="8:8" x14ac:dyDescent="0.25">
      <c r="H1174" s="10" t="str">
        <f t="shared" si="19"/>
        <v/>
      </c>
    </row>
    <row r="1175" spans="8:8" x14ac:dyDescent="0.25">
      <c r="H1175" s="10" t="str">
        <f t="shared" si="19"/>
        <v/>
      </c>
    </row>
    <row r="1176" spans="8:8" x14ac:dyDescent="0.25">
      <c r="H1176" s="10" t="str">
        <f t="shared" si="19"/>
        <v/>
      </c>
    </row>
    <row r="1177" spans="8:8" x14ac:dyDescent="0.25">
      <c r="H1177" s="10" t="str">
        <f t="shared" si="19"/>
        <v/>
      </c>
    </row>
    <row r="1178" spans="8:8" x14ac:dyDescent="0.25">
      <c r="H1178" s="10" t="str">
        <f t="shared" si="19"/>
        <v/>
      </c>
    </row>
    <row r="1179" spans="8:8" x14ac:dyDescent="0.25">
      <c r="H1179" s="10" t="str">
        <f t="shared" si="19"/>
        <v/>
      </c>
    </row>
    <row r="1180" spans="8:8" x14ac:dyDescent="0.25">
      <c r="H1180" s="10" t="str">
        <f t="shared" si="19"/>
        <v/>
      </c>
    </row>
    <row r="1181" spans="8:8" x14ac:dyDescent="0.25">
      <c r="H1181" s="10" t="str">
        <f t="shared" si="19"/>
        <v/>
      </c>
    </row>
    <row r="1182" spans="8:8" x14ac:dyDescent="0.25">
      <c r="H1182" s="10" t="str">
        <f t="shared" si="19"/>
        <v/>
      </c>
    </row>
    <row r="1183" spans="8:8" x14ac:dyDescent="0.25">
      <c r="H1183" s="10" t="str">
        <f t="shared" si="19"/>
        <v/>
      </c>
    </row>
    <row r="1184" spans="8:8" x14ac:dyDescent="0.25">
      <c r="H1184" s="10" t="str">
        <f t="shared" si="19"/>
        <v/>
      </c>
    </row>
    <row r="1185" spans="8:8" x14ac:dyDescent="0.25">
      <c r="H1185" s="10" t="str">
        <f t="shared" si="19"/>
        <v/>
      </c>
    </row>
    <row r="1186" spans="8:8" x14ac:dyDescent="0.25">
      <c r="H1186" s="10" t="str">
        <f t="shared" si="19"/>
        <v/>
      </c>
    </row>
    <row r="1187" spans="8:8" x14ac:dyDescent="0.25">
      <c r="H1187" s="10" t="str">
        <f t="shared" si="19"/>
        <v/>
      </c>
    </row>
    <row r="1188" spans="8:8" x14ac:dyDescent="0.25">
      <c r="H1188" s="10" t="str">
        <f t="shared" si="19"/>
        <v/>
      </c>
    </row>
    <row r="1189" spans="8:8" x14ac:dyDescent="0.25">
      <c r="H1189" s="10" t="str">
        <f t="shared" si="19"/>
        <v/>
      </c>
    </row>
    <row r="1190" spans="8:8" x14ac:dyDescent="0.25">
      <c r="H1190" s="10" t="str">
        <f t="shared" si="19"/>
        <v/>
      </c>
    </row>
    <row r="1191" spans="8:8" x14ac:dyDescent="0.25">
      <c r="H1191" s="10" t="str">
        <f t="shared" si="19"/>
        <v/>
      </c>
    </row>
    <row r="1192" spans="8:8" x14ac:dyDescent="0.25">
      <c r="H1192" s="10" t="str">
        <f t="shared" si="19"/>
        <v/>
      </c>
    </row>
    <row r="1193" spans="8:8" x14ac:dyDescent="0.25">
      <c r="H1193" s="10" t="str">
        <f t="shared" si="19"/>
        <v/>
      </c>
    </row>
    <row r="1194" spans="8:8" x14ac:dyDescent="0.25">
      <c r="H1194" s="10" t="str">
        <f t="shared" si="19"/>
        <v/>
      </c>
    </row>
    <row r="1195" spans="8:8" x14ac:dyDescent="0.25">
      <c r="H1195" s="10" t="str">
        <f t="shared" si="19"/>
        <v/>
      </c>
    </row>
    <row r="1196" spans="8:8" x14ac:dyDescent="0.25">
      <c r="H1196" s="10" t="str">
        <f t="shared" si="19"/>
        <v/>
      </c>
    </row>
    <row r="1197" spans="8:8" x14ac:dyDescent="0.25">
      <c r="H1197" s="10" t="str">
        <f t="shared" si="19"/>
        <v/>
      </c>
    </row>
    <row r="1198" spans="8:8" x14ac:dyDescent="0.25">
      <c r="H1198" s="10" t="str">
        <f t="shared" si="19"/>
        <v/>
      </c>
    </row>
    <row r="1199" spans="8:8" x14ac:dyDescent="0.25">
      <c r="H1199" s="10" t="str">
        <f t="shared" si="19"/>
        <v/>
      </c>
    </row>
    <row r="1200" spans="8:8" x14ac:dyDescent="0.25">
      <c r="H1200" s="10" t="str">
        <f t="shared" si="19"/>
        <v/>
      </c>
    </row>
    <row r="1201" spans="8:8" x14ac:dyDescent="0.25">
      <c r="H1201" s="10" t="str">
        <f t="shared" si="19"/>
        <v/>
      </c>
    </row>
    <row r="1202" spans="8:8" x14ac:dyDescent="0.25">
      <c r="H1202" s="10" t="str">
        <f t="shared" si="19"/>
        <v/>
      </c>
    </row>
    <row r="1203" spans="8:8" x14ac:dyDescent="0.25">
      <c r="H1203" s="10" t="str">
        <f t="shared" si="19"/>
        <v/>
      </c>
    </row>
    <row r="1204" spans="8:8" x14ac:dyDescent="0.25">
      <c r="H1204" s="10" t="str">
        <f t="shared" si="19"/>
        <v/>
      </c>
    </row>
    <row r="1205" spans="8:8" x14ac:dyDescent="0.25">
      <c r="H1205" s="10" t="str">
        <f t="shared" si="19"/>
        <v/>
      </c>
    </row>
    <row r="1206" spans="8:8" x14ac:dyDescent="0.25">
      <c r="H1206" s="10" t="str">
        <f t="shared" si="19"/>
        <v/>
      </c>
    </row>
    <row r="1207" spans="8:8" x14ac:dyDescent="0.25">
      <c r="H1207" s="10" t="str">
        <f t="shared" si="19"/>
        <v/>
      </c>
    </row>
    <row r="1208" spans="8:8" x14ac:dyDescent="0.25">
      <c r="H1208" s="10" t="str">
        <f t="shared" si="19"/>
        <v/>
      </c>
    </row>
    <row r="1209" spans="8:8" x14ac:dyDescent="0.25">
      <c r="H1209" s="10" t="str">
        <f t="shared" si="19"/>
        <v/>
      </c>
    </row>
    <row r="1210" spans="8:8" x14ac:dyDescent="0.25">
      <c r="H1210" s="10" t="str">
        <f t="shared" si="19"/>
        <v/>
      </c>
    </row>
    <row r="1211" spans="8:8" x14ac:dyDescent="0.25">
      <c r="H1211" s="10" t="str">
        <f t="shared" si="19"/>
        <v/>
      </c>
    </row>
    <row r="1212" spans="8:8" x14ac:dyDescent="0.25">
      <c r="H1212" s="10" t="str">
        <f t="shared" si="19"/>
        <v/>
      </c>
    </row>
    <row r="1213" spans="8:8" x14ac:dyDescent="0.25">
      <c r="H1213" s="10" t="str">
        <f t="shared" si="19"/>
        <v/>
      </c>
    </row>
    <row r="1214" spans="8:8" x14ac:dyDescent="0.25">
      <c r="H1214" s="10" t="str">
        <f t="shared" si="19"/>
        <v/>
      </c>
    </row>
    <row r="1215" spans="8:8" x14ac:dyDescent="0.25">
      <c r="H1215" s="10" t="str">
        <f t="shared" si="19"/>
        <v/>
      </c>
    </row>
    <row r="1216" spans="8:8" x14ac:dyDescent="0.25">
      <c r="H1216" s="10" t="str">
        <f t="shared" si="19"/>
        <v/>
      </c>
    </row>
    <row r="1217" spans="8:8" x14ac:dyDescent="0.25">
      <c r="H1217" s="10" t="str">
        <f t="shared" si="19"/>
        <v/>
      </c>
    </row>
    <row r="1218" spans="8:8" x14ac:dyDescent="0.25">
      <c r="H1218" s="10" t="str">
        <f t="shared" si="19"/>
        <v/>
      </c>
    </row>
    <row r="1219" spans="8:8" x14ac:dyDescent="0.25">
      <c r="H1219" s="10" t="str">
        <f t="shared" si="19"/>
        <v/>
      </c>
    </row>
    <row r="1220" spans="8:8" x14ac:dyDescent="0.25">
      <c r="H1220" s="10" t="str">
        <f t="shared" ref="H1220:H1283" si="20">IFERROR(DATEVALUE(C1220),"")</f>
        <v/>
      </c>
    </row>
    <row r="1221" spans="8:8" x14ac:dyDescent="0.25">
      <c r="H1221" s="10" t="str">
        <f t="shared" si="20"/>
        <v/>
      </c>
    </row>
    <row r="1222" spans="8:8" x14ac:dyDescent="0.25">
      <c r="H1222" s="10" t="str">
        <f t="shared" si="20"/>
        <v/>
      </c>
    </row>
    <row r="1223" spans="8:8" x14ac:dyDescent="0.25">
      <c r="H1223" s="10" t="str">
        <f t="shared" si="20"/>
        <v/>
      </c>
    </row>
    <row r="1224" spans="8:8" x14ac:dyDescent="0.25">
      <c r="H1224" s="10" t="str">
        <f t="shared" si="20"/>
        <v/>
      </c>
    </row>
    <row r="1225" spans="8:8" x14ac:dyDescent="0.25">
      <c r="H1225" s="10" t="str">
        <f t="shared" si="20"/>
        <v/>
      </c>
    </row>
    <row r="1226" spans="8:8" x14ac:dyDescent="0.25">
      <c r="H1226" s="10" t="str">
        <f t="shared" si="20"/>
        <v/>
      </c>
    </row>
    <row r="1227" spans="8:8" x14ac:dyDescent="0.25">
      <c r="H1227" s="10" t="str">
        <f t="shared" si="20"/>
        <v/>
      </c>
    </row>
    <row r="1228" spans="8:8" x14ac:dyDescent="0.25">
      <c r="H1228" s="10" t="str">
        <f t="shared" si="20"/>
        <v/>
      </c>
    </row>
    <row r="1229" spans="8:8" x14ac:dyDescent="0.25">
      <c r="H1229" s="10" t="str">
        <f t="shared" si="20"/>
        <v/>
      </c>
    </row>
    <row r="1230" spans="8:8" x14ac:dyDescent="0.25">
      <c r="H1230" s="10" t="str">
        <f t="shared" si="20"/>
        <v/>
      </c>
    </row>
    <row r="1231" spans="8:8" x14ac:dyDescent="0.25">
      <c r="H1231" s="10" t="str">
        <f t="shared" si="20"/>
        <v/>
      </c>
    </row>
    <row r="1232" spans="8:8" x14ac:dyDescent="0.25">
      <c r="H1232" s="10" t="str">
        <f t="shared" si="20"/>
        <v/>
      </c>
    </row>
    <row r="1233" spans="8:8" x14ac:dyDescent="0.25">
      <c r="H1233" s="10" t="str">
        <f t="shared" si="20"/>
        <v/>
      </c>
    </row>
    <row r="1234" spans="8:8" x14ac:dyDescent="0.25">
      <c r="H1234" s="10" t="str">
        <f t="shared" si="20"/>
        <v/>
      </c>
    </row>
    <row r="1235" spans="8:8" x14ac:dyDescent="0.25">
      <c r="H1235" s="10" t="str">
        <f t="shared" si="20"/>
        <v/>
      </c>
    </row>
    <row r="1236" spans="8:8" x14ac:dyDescent="0.25">
      <c r="H1236" s="10" t="str">
        <f t="shared" si="20"/>
        <v/>
      </c>
    </row>
    <row r="1237" spans="8:8" x14ac:dyDescent="0.25">
      <c r="H1237" s="10" t="str">
        <f t="shared" si="20"/>
        <v/>
      </c>
    </row>
    <row r="1238" spans="8:8" x14ac:dyDescent="0.25">
      <c r="H1238" s="10" t="str">
        <f t="shared" si="20"/>
        <v/>
      </c>
    </row>
    <row r="1239" spans="8:8" x14ac:dyDescent="0.25">
      <c r="H1239" s="10" t="str">
        <f t="shared" si="20"/>
        <v/>
      </c>
    </row>
    <row r="1240" spans="8:8" x14ac:dyDescent="0.25">
      <c r="H1240" s="10" t="str">
        <f t="shared" si="20"/>
        <v/>
      </c>
    </row>
    <row r="1241" spans="8:8" x14ac:dyDescent="0.25">
      <c r="H1241" s="10" t="str">
        <f t="shared" si="20"/>
        <v/>
      </c>
    </row>
    <row r="1242" spans="8:8" x14ac:dyDescent="0.25">
      <c r="H1242" s="10" t="str">
        <f t="shared" si="20"/>
        <v/>
      </c>
    </row>
    <row r="1243" spans="8:8" x14ac:dyDescent="0.25">
      <c r="H1243" s="10" t="str">
        <f t="shared" si="20"/>
        <v/>
      </c>
    </row>
    <row r="1244" spans="8:8" x14ac:dyDescent="0.25">
      <c r="H1244" s="10" t="str">
        <f t="shared" si="20"/>
        <v/>
      </c>
    </row>
    <row r="1245" spans="8:8" x14ac:dyDescent="0.25">
      <c r="H1245" s="10" t="str">
        <f t="shared" si="20"/>
        <v/>
      </c>
    </row>
    <row r="1246" spans="8:8" x14ac:dyDescent="0.25">
      <c r="H1246" s="10" t="str">
        <f t="shared" si="20"/>
        <v/>
      </c>
    </row>
    <row r="1247" spans="8:8" x14ac:dyDescent="0.25">
      <c r="H1247" s="10" t="str">
        <f t="shared" si="20"/>
        <v/>
      </c>
    </row>
    <row r="1248" spans="8:8" x14ac:dyDescent="0.25">
      <c r="H1248" s="10" t="str">
        <f t="shared" si="20"/>
        <v/>
      </c>
    </row>
    <row r="1249" spans="8:8" x14ac:dyDescent="0.25">
      <c r="H1249" s="10" t="str">
        <f t="shared" si="20"/>
        <v/>
      </c>
    </row>
    <row r="1250" spans="8:8" x14ac:dyDescent="0.25">
      <c r="H1250" s="10" t="str">
        <f t="shared" si="20"/>
        <v/>
      </c>
    </row>
    <row r="1251" spans="8:8" x14ac:dyDescent="0.25">
      <c r="H1251" s="10" t="str">
        <f t="shared" si="20"/>
        <v/>
      </c>
    </row>
    <row r="1252" spans="8:8" x14ac:dyDescent="0.25">
      <c r="H1252" s="10" t="str">
        <f t="shared" si="20"/>
        <v/>
      </c>
    </row>
    <row r="1253" spans="8:8" x14ac:dyDescent="0.25">
      <c r="H1253" s="10" t="str">
        <f t="shared" si="20"/>
        <v/>
      </c>
    </row>
    <row r="1254" spans="8:8" x14ac:dyDescent="0.25">
      <c r="H1254" s="10" t="str">
        <f t="shared" si="20"/>
        <v/>
      </c>
    </row>
    <row r="1255" spans="8:8" x14ac:dyDescent="0.25">
      <c r="H1255" s="10" t="str">
        <f t="shared" si="20"/>
        <v/>
      </c>
    </row>
    <row r="1256" spans="8:8" x14ac:dyDescent="0.25">
      <c r="H1256" s="10" t="str">
        <f t="shared" si="20"/>
        <v/>
      </c>
    </row>
    <row r="1257" spans="8:8" x14ac:dyDescent="0.25">
      <c r="H1257" s="10" t="str">
        <f t="shared" si="20"/>
        <v/>
      </c>
    </row>
    <row r="1258" spans="8:8" x14ac:dyDescent="0.25">
      <c r="H1258" s="10" t="str">
        <f t="shared" si="20"/>
        <v/>
      </c>
    </row>
    <row r="1259" spans="8:8" x14ac:dyDescent="0.25">
      <c r="H1259" s="10" t="str">
        <f t="shared" si="20"/>
        <v/>
      </c>
    </row>
    <row r="1260" spans="8:8" x14ac:dyDescent="0.25">
      <c r="H1260" s="10" t="str">
        <f t="shared" si="20"/>
        <v/>
      </c>
    </row>
    <row r="1261" spans="8:8" x14ac:dyDescent="0.25">
      <c r="H1261" s="10" t="str">
        <f t="shared" si="20"/>
        <v/>
      </c>
    </row>
    <row r="1262" spans="8:8" x14ac:dyDescent="0.25">
      <c r="H1262" s="10" t="str">
        <f t="shared" si="20"/>
        <v/>
      </c>
    </row>
    <row r="1263" spans="8:8" x14ac:dyDescent="0.25">
      <c r="H1263" s="10" t="str">
        <f t="shared" si="20"/>
        <v/>
      </c>
    </row>
    <row r="1264" spans="8:8" x14ac:dyDescent="0.25">
      <c r="H1264" s="10" t="str">
        <f t="shared" si="20"/>
        <v/>
      </c>
    </row>
    <row r="1265" spans="8:8" x14ac:dyDescent="0.25">
      <c r="H1265" s="10" t="str">
        <f t="shared" si="20"/>
        <v/>
      </c>
    </row>
    <row r="1266" spans="8:8" x14ac:dyDescent="0.25">
      <c r="H1266" s="10" t="str">
        <f t="shared" si="20"/>
        <v/>
      </c>
    </row>
    <row r="1267" spans="8:8" x14ac:dyDescent="0.25">
      <c r="H1267" s="10" t="str">
        <f t="shared" si="20"/>
        <v/>
      </c>
    </row>
    <row r="1268" spans="8:8" x14ac:dyDescent="0.25">
      <c r="H1268" s="10" t="str">
        <f t="shared" si="20"/>
        <v/>
      </c>
    </row>
    <row r="1269" spans="8:8" x14ac:dyDescent="0.25">
      <c r="H1269" s="10" t="str">
        <f t="shared" si="20"/>
        <v/>
      </c>
    </row>
    <row r="1270" spans="8:8" x14ac:dyDescent="0.25">
      <c r="H1270" s="10" t="str">
        <f t="shared" si="20"/>
        <v/>
      </c>
    </row>
    <row r="1271" spans="8:8" x14ac:dyDescent="0.25">
      <c r="H1271" s="10" t="str">
        <f t="shared" si="20"/>
        <v/>
      </c>
    </row>
    <row r="1272" spans="8:8" x14ac:dyDescent="0.25">
      <c r="H1272" s="10" t="str">
        <f t="shared" si="20"/>
        <v/>
      </c>
    </row>
    <row r="1273" spans="8:8" x14ac:dyDescent="0.25">
      <c r="H1273" s="10" t="str">
        <f t="shared" si="20"/>
        <v/>
      </c>
    </row>
    <row r="1274" spans="8:8" x14ac:dyDescent="0.25">
      <c r="H1274" s="10" t="str">
        <f t="shared" si="20"/>
        <v/>
      </c>
    </row>
    <row r="1275" spans="8:8" x14ac:dyDescent="0.25">
      <c r="H1275" s="10" t="str">
        <f t="shared" si="20"/>
        <v/>
      </c>
    </row>
    <row r="1276" spans="8:8" x14ac:dyDescent="0.25">
      <c r="H1276" s="10" t="str">
        <f t="shared" si="20"/>
        <v/>
      </c>
    </row>
    <row r="1277" spans="8:8" x14ac:dyDescent="0.25">
      <c r="H1277" s="10" t="str">
        <f t="shared" si="20"/>
        <v/>
      </c>
    </row>
    <row r="1278" spans="8:8" x14ac:dyDescent="0.25">
      <c r="H1278" s="10" t="str">
        <f t="shared" si="20"/>
        <v/>
      </c>
    </row>
    <row r="1279" spans="8:8" x14ac:dyDescent="0.25">
      <c r="H1279" s="10" t="str">
        <f t="shared" si="20"/>
        <v/>
      </c>
    </row>
    <row r="1280" spans="8:8" x14ac:dyDescent="0.25">
      <c r="H1280" s="10" t="str">
        <f t="shared" si="20"/>
        <v/>
      </c>
    </row>
    <row r="1281" spans="8:8" x14ac:dyDescent="0.25">
      <c r="H1281" s="10" t="str">
        <f t="shared" si="20"/>
        <v/>
      </c>
    </row>
    <row r="1282" spans="8:8" x14ac:dyDescent="0.25">
      <c r="H1282" s="10" t="str">
        <f t="shared" si="20"/>
        <v/>
      </c>
    </row>
    <row r="1283" spans="8:8" x14ac:dyDescent="0.25">
      <c r="H1283" s="10" t="str">
        <f t="shared" si="20"/>
        <v/>
      </c>
    </row>
    <row r="1284" spans="8:8" x14ac:dyDescent="0.25">
      <c r="H1284" s="10" t="str">
        <f t="shared" ref="H1284:H1347" si="21">IFERROR(DATEVALUE(C1284),"")</f>
        <v/>
      </c>
    </row>
    <row r="1285" spans="8:8" x14ac:dyDescent="0.25">
      <c r="H1285" s="10" t="str">
        <f t="shared" si="21"/>
        <v/>
      </c>
    </row>
    <row r="1286" spans="8:8" x14ac:dyDescent="0.25">
      <c r="H1286" s="10" t="str">
        <f t="shared" si="21"/>
        <v/>
      </c>
    </row>
    <row r="1287" spans="8:8" x14ac:dyDescent="0.25">
      <c r="H1287" s="10" t="str">
        <f t="shared" si="21"/>
        <v/>
      </c>
    </row>
    <row r="1288" spans="8:8" x14ac:dyDescent="0.25">
      <c r="H1288" s="10" t="str">
        <f t="shared" si="21"/>
        <v/>
      </c>
    </row>
    <row r="1289" spans="8:8" x14ac:dyDescent="0.25">
      <c r="H1289" s="10" t="str">
        <f t="shared" si="21"/>
        <v/>
      </c>
    </row>
    <row r="1290" spans="8:8" x14ac:dyDescent="0.25">
      <c r="H1290" s="10" t="str">
        <f t="shared" si="21"/>
        <v/>
      </c>
    </row>
    <row r="1291" spans="8:8" x14ac:dyDescent="0.25">
      <c r="H1291" s="10" t="str">
        <f t="shared" si="21"/>
        <v/>
      </c>
    </row>
    <row r="1292" spans="8:8" x14ac:dyDescent="0.25">
      <c r="H1292" s="10" t="str">
        <f t="shared" si="21"/>
        <v/>
      </c>
    </row>
    <row r="1293" spans="8:8" x14ac:dyDescent="0.25">
      <c r="H1293" s="10" t="str">
        <f t="shared" si="21"/>
        <v/>
      </c>
    </row>
    <row r="1294" spans="8:8" x14ac:dyDescent="0.25">
      <c r="H1294" s="10" t="str">
        <f t="shared" si="21"/>
        <v/>
      </c>
    </row>
    <row r="1295" spans="8:8" x14ac:dyDescent="0.25">
      <c r="H1295" s="10" t="str">
        <f t="shared" si="21"/>
        <v/>
      </c>
    </row>
    <row r="1296" spans="8:8" x14ac:dyDescent="0.25">
      <c r="H1296" s="10" t="str">
        <f t="shared" si="21"/>
        <v/>
      </c>
    </row>
    <row r="1297" spans="8:8" x14ac:dyDescent="0.25">
      <c r="H1297" s="10" t="str">
        <f t="shared" si="21"/>
        <v/>
      </c>
    </row>
    <row r="1298" spans="8:8" x14ac:dyDescent="0.25">
      <c r="H1298" s="10" t="str">
        <f t="shared" si="21"/>
        <v/>
      </c>
    </row>
    <row r="1299" spans="8:8" x14ac:dyDescent="0.25">
      <c r="H1299" s="10" t="str">
        <f t="shared" si="21"/>
        <v/>
      </c>
    </row>
    <row r="1300" spans="8:8" x14ac:dyDescent="0.25">
      <c r="H1300" s="10" t="str">
        <f t="shared" si="21"/>
        <v/>
      </c>
    </row>
    <row r="1301" spans="8:8" x14ac:dyDescent="0.25">
      <c r="H1301" s="10" t="str">
        <f t="shared" si="21"/>
        <v/>
      </c>
    </row>
    <row r="1302" spans="8:8" x14ac:dyDescent="0.25">
      <c r="H1302" s="10" t="str">
        <f t="shared" si="21"/>
        <v/>
      </c>
    </row>
    <row r="1303" spans="8:8" x14ac:dyDescent="0.25">
      <c r="H1303" s="10" t="str">
        <f t="shared" si="21"/>
        <v/>
      </c>
    </row>
    <row r="1304" spans="8:8" x14ac:dyDescent="0.25">
      <c r="H1304" s="10" t="str">
        <f t="shared" si="21"/>
        <v/>
      </c>
    </row>
    <row r="1305" spans="8:8" x14ac:dyDescent="0.25">
      <c r="H1305" s="10" t="str">
        <f t="shared" si="21"/>
        <v/>
      </c>
    </row>
    <row r="1306" spans="8:8" x14ac:dyDescent="0.25">
      <c r="H1306" s="10" t="str">
        <f t="shared" si="21"/>
        <v/>
      </c>
    </row>
    <row r="1307" spans="8:8" x14ac:dyDescent="0.25">
      <c r="H1307" s="10" t="str">
        <f t="shared" si="21"/>
        <v/>
      </c>
    </row>
    <row r="1308" spans="8:8" x14ac:dyDescent="0.25">
      <c r="H1308" s="10" t="str">
        <f t="shared" si="21"/>
        <v/>
      </c>
    </row>
    <row r="1309" spans="8:8" x14ac:dyDescent="0.25">
      <c r="H1309" s="10" t="str">
        <f t="shared" si="21"/>
        <v/>
      </c>
    </row>
    <row r="1310" spans="8:8" x14ac:dyDescent="0.25">
      <c r="H1310" s="10" t="str">
        <f t="shared" si="21"/>
        <v/>
      </c>
    </row>
    <row r="1311" spans="8:8" x14ac:dyDescent="0.25">
      <c r="H1311" s="10" t="str">
        <f t="shared" si="21"/>
        <v/>
      </c>
    </row>
    <row r="1312" spans="8:8" x14ac:dyDescent="0.25">
      <c r="H1312" s="10" t="str">
        <f t="shared" si="21"/>
        <v/>
      </c>
    </row>
    <row r="1313" spans="8:8" x14ac:dyDescent="0.25">
      <c r="H1313" s="10" t="str">
        <f t="shared" si="21"/>
        <v/>
      </c>
    </row>
    <row r="1314" spans="8:8" x14ac:dyDescent="0.25">
      <c r="H1314" s="10" t="str">
        <f t="shared" si="21"/>
        <v/>
      </c>
    </row>
    <row r="1315" spans="8:8" x14ac:dyDescent="0.25">
      <c r="H1315" s="10" t="str">
        <f t="shared" si="21"/>
        <v/>
      </c>
    </row>
    <row r="1316" spans="8:8" x14ac:dyDescent="0.25">
      <c r="H1316" s="10" t="str">
        <f t="shared" si="21"/>
        <v/>
      </c>
    </row>
    <row r="1317" spans="8:8" x14ac:dyDescent="0.25">
      <c r="H1317" s="10" t="str">
        <f t="shared" si="21"/>
        <v/>
      </c>
    </row>
    <row r="1318" spans="8:8" x14ac:dyDescent="0.25">
      <c r="H1318" s="10" t="str">
        <f t="shared" si="21"/>
        <v/>
      </c>
    </row>
    <row r="1319" spans="8:8" x14ac:dyDescent="0.25">
      <c r="H1319" s="10" t="str">
        <f t="shared" si="21"/>
        <v/>
      </c>
    </row>
    <row r="1320" spans="8:8" x14ac:dyDescent="0.25">
      <c r="H1320" s="10" t="str">
        <f t="shared" si="21"/>
        <v/>
      </c>
    </row>
    <row r="1321" spans="8:8" x14ac:dyDescent="0.25">
      <c r="H1321" s="10" t="str">
        <f t="shared" si="21"/>
        <v/>
      </c>
    </row>
    <row r="1322" spans="8:8" x14ac:dyDescent="0.25">
      <c r="H1322" s="10" t="str">
        <f t="shared" si="21"/>
        <v/>
      </c>
    </row>
    <row r="1323" spans="8:8" x14ac:dyDescent="0.25">
      <c r="H1323" s="10" t="str">
        <f t="shared" si="21"/>
        <v/>
      </c>
    </row>
    <row r="1324" spans="8:8" x14ac:dyDescent="0.25">
      <c r="H1324" s="10" t="str">
        <f t="shared" si="21"/>
        <v/>
      </c>
    </row>
    <row r="1325" spans="8:8" x14ac:dyDescent="0.25">
      <c r="H1325" s="10" t="str">
        <f t="shared" si="21"/>
        <v/>
      </c>
    </row>
    <row r="1326" spans="8:8" x14ac:dyDescent="0.25">
      <c r="H1326" s="10" t="str">
        <f t="shared" si="21"/>
        <v/>
      </c>
    </row>
    <row r="1327" spans="8:8" x14ac:dyDescent="0.25">
      <c r="H1327" s="10" t="str">
        <f t="shared" si="21"/>
        <v/>
      </c>
    </row>
    <row r="1328" spans="8:8" x14ac:dyDescent="0.25">
      <c r="H1328" s="10" t="str">
        <f t="shared" si="21"/>
        <v/>
      </c>
    </row>
    <row r="1329" spans="8:8" x14ac:dyDescent="0.25">
      <c r="H1329" s="10" t="str">
        <f t="shared" si="21"/>
        <v/>
      </c>
    </row>
    <row r="1330" spans="8:8" x14ac:dyDescent="0.25">
      <c r="H1330" s="10" t="str">
        <f t="shared" si="21"/>
        <v/>
      </c>
    </row>
    <row r="1331" spans="8:8" x14ac:dyDescent="0.25">
      <c r="H1331" s="10" t="str">
        <f t="shared" si="21"/>
        <v/>
      </c>
    </row>
    <row r="1332" spans="8:8" x14ac:dyDescent="0.25">
      <c r="H1332" s="10" t="str">
        <f t="shared" si="21"/>
        <v/>
      </c>
    </row>
    <row r="1333" spans="8:8" x14ac:dyDescent="0.25">
      <c r="H1333" s="10" t="str">
        <f t="shared" si="21"/>
        <v/>
      </c>
    </row>
    <row r="1334" spans="8:8" x14ac:dyDescent="0.25">
      <c r="H1334" s="10" t="str">
        <f t="shared" si="21"/>
        <v/>
      </c>
    </row>
    <row r="1335" spans="8:8" x14ac:dyDescent="0.25">
      <c r="H1335" s="10" t="str">
        <f t="shared" si="21"/>
        <v/>
      </c>
    </row>
    <row r="1336" spans="8:8" x14ac:dyDescent="0.25">
      <c r="H1336" s="10" t="str">
        <f t="shared" si="21"/>
        <v/>
      </c>
    </row>
    <row r="1337" spans="8:8" x14ac:dyDescent="0.25">
      <c r="H1337" s="10" t="str">
        <f t="shared" si="21"/>
        <v/>
      </c>
    </row>
    <row r="1338" spans="8:8" x14ac:dyDescent="0.25">
      <c r="H1338" s="10" t="str">
        <f t="shared" si="21"/>
        <v/>
      </c>
    </row>
    <row r="1339" spans="8:8" x14ac:dyDescent="0.25">
      <c r="H1339" s="10" t="str">
        <f t="shared" si="21"/>
        <v/>
      </c>
    </row>
    <row r="1340" spans="8:8" x14ac:dyDescent="0.25">
      <c r="H1340" s="10" t="str">
        <f t="shared" si="21"/>
        <v/>
      </c>
    </row>
    <row r="1341" spans="8:8" x14ac:dyDescent="0.25">
      <c r="H1341" s="10" t="str">
        <f t="shared" si="21"/>
        <v/>
      </c>
    </row>
    <row r="1342" spans="8:8" x14ac:dyDescent="0.25">
      <c r="H1342" s="10" t="str">
        <f t="shared" si="21"/>
        <v/>
      </c>
    </row>
    <row r="1343" spans="8:8" x14ac:dyDescent="0.25">
      <c r="H1343" s="10" t="str">
        <f t="shared" si="21"/>
        <v/>
      </c>
    </row>
    <row r="1344" spans="8:8" x14ac:dyDescent="0.25">
      <c r="H1344" s="10" t="str">
        <f t="shared" si="21"/>
        <v/>
      </c>
    </row>
    <row r="1345" spans="8:8" x14ac:dyDescent="0.25">
      <c r="H1345" s="10" t="str">
        <f t="shared" si="21"/>
        <v/>
      </c>
    </row>
    <row r="1346" spans="8:8" x14ac:dyDescent="0.25">
      <c r="H1346" s="10" t="str">
        <f t="shared" si="21"/>
        <v/>
      </c>
    </row>
    <row r="1347" spans="8:8" x14ac:dyDescent="0.25">
      <c r="H1347" s="10" t="str">
        <f t="shared" si="21"/>
        <v/>
      </c>
    </row>
    <row r="1348" spans="8:8" x14ac:dyDescent="0.25">
      <c r="H1348" s="10" t="str">
        <f t="shared" ref="H1348:H1411" si="22">IFERROR(DATEVALUE(C1348),"")</f>
        <v/>
      </c>
    </row>
    <row r="1349" spans="8:8" x14ac:dyDescent="0.25">
      <c r="H1349" s="10" t="str">
        <f t="shared" si="22"/>
        <v/>
      </c>
    </row>
    <row r="1350" spans="8:8" x14ac:dyDescent="0.25">
      <c r="H1350" s="10" t="str">
        <f t="shared" si="22"/>
        <v/>
      </c>
    </row>
    <row r="1351" spans="8:8" x14ac:dyDescent="0.25">
      <c r="H1351" s="10" t="str">
        <f t="shared" si="22"/>
        <v/>
      </c>
    </row>
    <row r="1352" spans="8:8" x14ac:dyDescent="0.25">
      <c r="H1352" s="10" t="str">
        <f t="shared" si="22"/>
        <v/>
      </c>
    </row>
    <row r="1353" spans="8:8" x14ac:dyDescent="0.25">
      <c r="H1353" s="10" t="str">
        <f t="shared" si="22"/>
        <v/>
      </c>
    </row>
    <row r="1354" spans="8:8" x14ac:dyDescent="0.25">
      <c r="H1354" s="10" t="str">
        <f t="shared" si="22"/>
        <v/>
      </c>
    </row>
    <row r="1355" spans="8:8" x14ac:dyDescent="0.25">
      <c r="H1355" s="10" t="str">
        <f t="shared" si="22"/>
        <v/>
      </c>
    </row>
    <row r="1356" spans="8:8" x14ac:dyDescent="0.25">
      <c r="H1356" s="10" t="str">
        <f t="shared" si="22"/>
        <v/>
      </c>
    </row>
    <row r="1357" spans="8:8" x14ac:dyDescent="0.25">
      <c r="H1357" s="10" t="str">
        <f t="shared" si="22"/>
        <v/>
      </c>
    </row>
    <row r="1358" spans="8:8" x14ac:dyDescent="0.25">
      <c r="H1358" s="10" t="str">
        <f t="shared" si="22"/>
        <v/>
      </c>
    </row>
    <row r="1359" spans="8:8" x14ac:dyDescent="0.25">
      <c r="H1359" s="10" t="str">
        <f t="shared" si="22"/>
        <v/>
      </c>
    </row>
    <row r="1360" spans="8:8" x14ac:dyDescent="0.25">
      <c r="H1360" s="10" t="str">
        <f t="shared" si="22"/>
        <v/>
      </c>
    </row>
    <row r="1361" spans="8:8" x14ac:dyDescent="0.25">
      <c r="H1361" s="10" t="str">
        <f t="shared" si="22"/>
        <v/>
      </c>
    </row>
    <row r="1362" spans="8:8" x14ac:dyDescent="0.25">
      <c r="H1362" s="10" t="str">
        <f t="shared" si="22"/>
        <v/>
      </c>
    </row>
    <row r="1363" spans="8:8" x14ac:dyDescent="0.25">
      <c r="H1363" s="10" t="str">
        <f t="shared" si="22"/>
        <v/>
      </c>
    </row>
    <row r="1364" spans="8:8" x14ac:dyDescent="0.25">
      <c r="H1364" s="10" t="str">
        <f t="shared" si="22"/>
        <v/>
      </c>
    </row>
    <row r="1365" spans="8:8" x14ac:dyDescent="0.25">
      <c r="H1365" s="10" t="str">
        <f t="shared" si="22"/>
        <v/>
      </c>
    </row>
    <row r="1366" spans="8:8" x14ac:dyDescent="0.25">
      <c r="H1366" s="10" t="str">
        <f t="shared" si="22"/>
        <v/>
      </c>
    </row>
    <row r="1367" spans="8:8" x14ac:dyDescent="0.25">
      <c r="H1367" s="10" t="str">
        <f t="shared" si="22"/>
        <v/>
      </c>
    </row>
    <row r="1368" spans="8:8" x14ac:dyDescent="0.25">
      <c r="H1368" s="10" t="str">
        <f t="shared" si="22"/>
        <v/>
      </c>
    </row>
    <row r="1369" spans="8:8" x14ac:dyDescent="0.25">
      <c r="H1369" s="10" t="str">
        <f t="shared" si="22"/>
        <v/>
      </c>
    </row>
    <row r="1370" spans="8:8" x14ac:dyDescent="0.25">
      <c r="H1370" s="10" t="str">
        <f t="shared" si="22"/>
        <v/>
      </c>
    </row>
    <row r="1371" spans="8:8" x14ac:dyDescent="0.25">
      <c r="H1371" s="10" t="str">
        <f t="shared" si="22"/>
        <v/>
      </c>
    </row>
    <row r="1372" spans="8:8" x14ac:dyDescent="0.25">
      <c r="H1372" s="10" t="str">
        <f t="shared" si="22"/>
        <v/>
      </c>
    </row>
    <row r="1373" spans="8:8" x14ac:dyDescent="0.25">
      <c r="H1373" s="10" t="str">
        <f t="shared" si="22"/>
        <v/>
      </c>
    </row>
    <row r="1374" spans="8:8" x14ac:dyDescent="0.25">
      <c r="H1374" s="10" t="str">
        <f t="shared" si="22"/>
        <v/>
      </c>
    </row>
    <row r="1375" spans="8:8" x14ac:dyDescent="0.25">
      <c r="H1375" s="10" t="str">
        <f t="shared" si="22"/>
        <v/>
      </c>
    </row>
    <row r="1376" spans="8:8" x14ac:dyDescent="0.25">
      <c r="H1376" s="10" t="str">
        <f t="shared" si="22"/>
        <v/>
      </c>
    </row>
    <row r="1377" spans="8:8" x14ac:dyDescent="0.25">
      <c r="H1377" s="10" t="str">
        <f t="shared" si="22"/>
        <v/>
      </c>
    </row>
    <row r="1378" spans="8:8" x14ac:dyDescent="0.25">
      <c r="H1378" s="10" t="str">
        <f t="shared" si="22"/>
        <v/>
      </c>
    </row>
    <row r="1379" spans="8:8" x14ac:dyDescent="0.25">
      <c r="H1379" s="10" t="str">
        <f t="shared" si="22"/>
        <v/>
      </c>
    </row>
    <row r="1380" spans="8:8" x14ac:dyDescent="0.25">
      <c r="H1380" s="10" t="str">
        <f t="shared" si="22"/>
        <v/>
      </c>
    </row>
    <row r="1381" spans="8:8" x14ac:dyDescent="0.25">
      <c r="H1381" s="10" t="str">
        <f t="shared" si="22"/>
        <v/>
      </c>
    </row>
    <row r="1382" spans="8:8" x14ac:dyDescent="0.25">
      <c r="H1382" s="10" t="str">
        <f t="shared" si="22"/>
        <v/>
      </c>
    </row>
    <row r="1383" spans="8:8" x14ac:dyDescent="0.25">
      <c r="H1383" s="10" t="str">
        <f t="shared" si="22"/>
        <v/>
      </c>
    </row>
    <row r="1384" spans="8:8" x14ac:dyDescent="0.25">
      <c r="H1384" s="10" t="str">
        <f t="shared" si="22"/>
        <v/>
      </c>
    </row>
    <row r="1385" spans="8:8" x14ac:dyDescent="0.25">
      <c r="H1385" s="10" t="str">
        <f t="shared" si="22"/>
        <v/>
      </c>
    </row>
    <row r="1386" spans="8:8" x14ac:dyDescent="0.25">
      <c r="H1386" s="10" t="str">
        <f t="shared" si="22"/>
        <v/>
      </c>
    </row>
    <row r="1387" spans="8:8" x14ac:dyDescent="0.25">
      <c r="H1387" s="10" t="str">
        <f t="shared" si="22"/>
        <v/>
      </c>
    </row>
    <row r="1388" spans="8:8" x14ac:dyDescent="0.25">
      <c r="H1388" s="10" t="str">
        <f t="shared" si="22"/>
        <v/>
      </c>
    </row>
    <row r="1389" spans="8:8" x14ac:dyDescent="0.25">
      <c r="H1389" s="10" t="str">
        <f t="shared" si="22"/>
        <v/>
      </c>
    </row>
    <row r="1390" spans="8:8" x14ac:dyDescent="0.25">
      <c r="H1390" s="10" t="str">
        <f t="shared" si="22"/>
        <v/>
      </c>
    </row>
    <row r="1391" spans="8:8" x14ac:dyDescent="0.25">
      <c r="H1391" s="10" t="str">
        <f t="shared" si="22"/>
        <v/>
      </c>
    </row>
    <row r="1392" spans="8:8" x14ac:dyDescent="0.25">
      <c r="H1392" s="10" t="str">
        <f t="shared" si="22"/>
        <v/>
      </c>
    </row>
    <row r="1393" spans="8:8" x14ac:dyDescent="0.25">
      <c r="H1393" s="10" t="str">
        <f t="shared" si="22"/>
        <v/>
      </c>
    </row>
    <row r="1394" spans="8:8" x14ac:dyDescent="0.25">
      <c r="H1394" s="10" t="str">
        <f t="shared" si="22"/>
        <v/>
      </c>
    </row>
    <row r="1395" spans="8:8" x14ac:dyDescent="0.25">
      <c r="H1395" s="10" t="str">
        <f t="shared" si="22"/>
        <v/>
      </c>
    </row>
    <row r="1396" spans="8:8" x14ac:dyDescent="0.25">
      <c r="H1396" s="10" t="str">
        <f t="shared" si="22"/>
        <v/>
      </c>
    </row>
    <row r="1397" spans="8:8" x14ac:dyDescent="0.25">
      <c r="H1397" s="10" t="str">
        <f t="shared" si="22"/>
        <v/>
      </c>
    </row>
    <row r="1398" spans="8:8" x14ac:dyDescent="0.25">
      <c r="H1398" s="10" t="str">
        <f t="shared" si="22"/>
        <v/>
      </c>
    </row>
    <row r="1399" spans="8:8" x14ac:dyDescent="0.25">
      <c r="H1399" s="10" t="str">
        <f t="shared" si="22"/>
        <v/>
      </c>
    </row>
    <row r="1400" spans="8:8" x14ac:dyDescent="0.25">
      <c r="H1400" s="10" t="str">
        <f t="shared" si="22"/>
        <v/>
      </c>
    </row>
    <row r="1401" spans="8:8" x14ac:dyDescent="0.25">
      <c r="H1401" s="10" t="str">
        <f t="shared" si="22"/>
        <v/>
      </c>
    </row>
    <row r="1402" spans="8:8" x14ac:dyDescent="0.25">
      <c r="H1402" s="10" t="str">
        <f t="shared" si="22"/>
        <v/>
      </c>
    </row>
    <row r="1403" spans="8:8" x14ac:dyDescent="0.25">
      <c r="H1403" s="10" t="str">
        <f t="shared" si="22"/>
        <v/>
      </c>
    </row>
    <row r="1404" spans="8:8" x14ac:dyDescent="0.25">
      <c r="H1404" s="10" t="str">
        <f t="shared" si="22"/>
        <v/>
      </c>
    </row>
    <row r="1405" spans="8:8" x14ac:dyDescent="0.25">
      <c r="H1405" s="10" t="str">
        <f t="shared" si="22"/>
        <v/>
      </c>
    </row>
    <row r="1406" spans="8:8" x14ac:dyDescent="0.25">
      <c r="H1406" s="10" t="str">
        <f t="shared" si="22"/>
        <v/>
      </c>
    </row>
    <row r="1407" spans="8:8" x14ac:dyDescent="0.25">
      <c r="H1407" s="10" t="str">
        <f t="shared" si="22"/>
        <v/>
      </c>
    </row>
    <row r="1408" spans="8:8" x14ac:dyDescent="0.25">
      <c r="H1408" s="10" t="str">
        <f t="shared" si="22"/>
        <v/>
      </c>
    </row>
    <row r="1409" spans="8:8" x14ac:dyDescent="0.25">
      <c r="H1409" s="10" t="str">
        <f t="shared" si="22"/>
        <v/>
      </c>
    </row>
    <row r="1410" spans="8:8" x14ac:dyDescent="0.25">
      <c r="H1410" s="10" t="str">
        <f t="shared" si="22"/>
        <v/>
      </c>
    </row>
    <row r="1411" spans="8:8" x14ac:dyDescent="0.25">
      <c r="H1411" s="10" t="str">
        <f t="shared" si="22"/>
        <v/>
      </c>
    </row>
    <row r="1412" spans="8:8" x14ac:dyDescent="0.25">
      <c r="H1412" s="10" t="str">
        <f t="shared" ref="H1412:H1475" si="23">IFERROR(DATEVALUE(C1412),"")</f>
        <v/>
      </c>
    </row>
    <row r="1413" spans="8:8" x14ac:dyDescent="0.25">
      <c r="H1413" s="10" t="str">
        <f t="shared" si="23"/>
        <v/>
      </c>
    </row>
    <row r="1414" spans="8:8" x14ac:dyDescent="0.25">
      <c r="H1414" s="10" t="str">
        <f t="shared" si="23"/>
        <v/>
      </c>
    </row>
    <row r="1415" spans="8:8" x14ac:dyDescent="0.25">
      <c r="H1415" s="10" t="str">
        <f t="shared" si="23"/>
        <v/>
      </c>
    </row>
    <row r="1416" spans="8:8" x14ac:dyDescent="0.25">
      <c r="H1416" s="10" t="str">
        <f t="shared" si="23"/>
        <v/>
      </c>
    </row>
    <row r="1417" spans="8:8" x14ac:dyDescent="0.25">
      <c r="H1417" s="10" t="str">
        <f t="shared" si="23"/>
        <v/>
      </c>
    </row>
    <row r="1418" spans="8:8" x14ac:dyDescent="0.25">
      <c r="H1418" s="10" t="str">
        <f t="shared" si="23"/>
        <v/>
      </c>
    </row>
    <row r="1419" spans="8:8" x14ac:dyDescent="0.25">
      <c r="H1419" s="10" t="str">
        <f t="shared" si="23"/>
        <v/>
      </c>
    </row>
    <row r="1420" spans="8:8" x14ac:dyDescent="0.25">
      <c r="H1420" s="10" t="str">
        <f t="shared" si="23"/>
        <v/>
      </c>
    </row>
    <row r="1421" spans="8:8" x14ac:dyDescent="0.25">
      <c r="H1421" s="10" t="str">
        <f t="shared" si="23"/>
        <v/>
      </c>
    </row>
    <row r="1422" spans="8:8" x14ac:dyDescent="0.25">
      <c r="H1422" s="10" t="str">
        <f t="shared" si="23"/>
        <v/>
      </c>
    </row>
    <row r="1423" spans="8:8" x14ac:dyDescent="0.25">
      <c r="H1423" s="10" t="str">
        <f t="shared" si="23"/>
        <v/>
      </c>
    </row>
    <row r="1424" spans="8:8" x14ac:dyDescent="0.25">
      <c r="H1424" s="10" t="str">
        <f t="shared" si="23"/>
        <v/>
      </c>
    </row>
    <row r="1425" spans="8:8" x14ac:dyDescent="0.25">
      <c r="H1425" s="10" t="str">
        <f t="shared" si="23"/>
        <v/>
      </c>
    </row>
    <row r="1426" spans="8:8" x14ac:dyDescent="0.25">
      <c r="H1426" s="10" t="str">
        <f t="shared" si="23"/>
        <v/>
      </c>
    </row>
    <row r="1427" spans="8:8" x14ac:dyDescent="0.25">
      <c r="H1427" s="10" t="str">
        <f t="shared" si="23"/>
        <v/>
      </c>
    </row>
    <row r="1428" spans="8:8" x14ac:dyDescent="0.25">
      <c r="H1428" s="10" t="str">
        <f t="shared" si="23"/>
        <v/>
      </c>
    </row>
    <row r="1429" spans="8:8" x14ac:dyDescent="0.25">
      <c r="H1429" s="10" t="str">
        <f t="shared" si="23"/>
        <v/>
      </c>
    </row>
    <row r="1430" spans="8:8" x14ac:dyDescent="0.25">
      <c r="H1430" s="10" t="str">
        <f t="shared" si="23"/>
        <v/>
      </c>
    </row>
    <row r="1431" spans="8:8" x14ac:dyDescent="0.25">
      <c r="H1431" s="10" t="str">
        <f t="shared" si="23"/>
        <v/>
      </c>
    </row>
    <row r="1432" spans="8:8" x14ac:dyDescent="0.25">
      <c r="H1432" s="10" t="str">
        <f t="shared" si="23"/>
        <v/>
      </c>
    </row>
    <row r="1433" spans="8:8" x14ac:dyDescent="0.25">
      <c r="H1433" s="10" t="str">
        <f t="shared" si="23"/>
        <v/>
      </c>
    </row>
    <row r="1434" spans="8:8" x14ac:dyDescent="0.25">
      <c r="H1434" s="10" t="str">
        <f t="shared" si="23"/>
        <v/>
      </c>
    </row>
    <row r="1435" spans="8:8" x14ac:dyDescent="0.25">
      <c r="H1435" s="10" t="str">
        <f t="shared" si="23"/>
        <v/>
      </c>
    </row>
    <row r="1436" spans="8:8" x14ac:dyDescent="0.25">
      <c r="H1436" s="10" t="str">
        <f t="shared" si="23"/>
        <v/>
      </c>
    </row>
    <row r="1437" spans="8:8" x14ac:dyDescent="0.25">
      <c r="H1437" s="10" t="str">
        <f t="shared" si="23"/>
        <v/>
      </c>
    </row>
    <row r="1438" spans="8:8" x14ac:dyDescent="0.25">
      <c r="H1438" s="10" t="str">
        <f t="shared" si="23"/>
        <v/>
      </c>
    </row>
    <row r="1439" spans="8:8" x14ac:dyDescent="0.25">
      <c r="H1439" s="10" t="str">
        <f t="shared" si="23"/>
        <v/>
      </c>
    </row>
    <row r="1440" spans="8:8" x14ac:dyDescent="0.25">
      <c r="H1440" s="10" t="str">
        <f t="shared" si="23"/>
        <v/>
      </c>
    </row>
    <row r="1441" spans="8:8" x14ac:dyDescent="0.25">
      <c r="H1441" s="10" t="str">
        <f t="shared" si="23"/>
        <v/>
      </c>
    </row>
    <row r="1442" spans="8:8" x14ac:dyDescent="0.25">
      <c r="H1442" s="10" t="str">
        <f t="shared" si="23"/>
        <v/>
      </c>
    </row>
    <row r="1443" spans="8:8" x14ac:dyDescent="0.25">
      <c r="H1443" s="10" t="str">
        <f t="shared" si="23"/>
        <v/>
      </c>
    </row>
    <row r="1444" spans="8:8" x14ac:dyDescent="0.25">
      <c r="H1444" s="10" t="str">
        <f t="shared" si="23"/>
        <v/>
      </c>
    </row>
    <row r="1445" spans="8:8" x14ac:dyDescent="0.25">
      <c r="H1445" s="10" t="str">
        <f t="shared" si="23"/>
        <v/>
      </c>
    </row>
    <row r="1446" spans="8:8" x14ac:dyDescent="0.25">
      <c r="H1446" s="10" t="str">
        <f t="shared" si="23"/>
        <v/>
      </c>
    </row>
    <row r="1447" spans="8:8" x14ac:dyDescent="0.25">
      <c r="H1447" s="10" t="str">
        <f t="shared" si="23"/>
        <v/>
      </c>
    </row>
    <row r="1448" spans="8:8" x14ac:dyDescent="0.25">
      <c r="H1448" s="10" t="str">
        <f t="shared" si="23"/>
        <v/>
      </c>
    </row>
    <row r="1449" spans="8:8" x14ac:dyDescent="0.25">
      <c r="H1449" s="10" t="str">
        <f t="shared" si="23"/>
        <v/>
      </c>
    </row>
    <row r="1450" spans="8:8" x14ac:dyDescent="0.25">
      <c r="H1450" s="10" t="str">
        <f t="shared" si="23"/>
        <v/>
      </c>
    </row>
    <row r="1451" spans="8:8" x14ac:dyDescent="0.25">
      <c r="H1451" s="10" t="str">
        <f t="shared" si="23"/>
        <v/>
      </c>
    </row>
    <row r="1452" spans="8:8" x14ac:dyDescent="0.25">
      <c r="H1452" s="10" t="str">
        <f t="shared" si="23"/>
        <v/>
      </c>
    </row>
    <row r="1453" spans="8:8" x14ac:dyDescent="0.25">
      <c r="H1453" s="10" t="str">
        <f t="shared" si="23"/>
        <v/>
      </c>
    </row>
    <row r="1454" spans="8:8" x14ac:dyDescent="0.25">
      <c r="H1454" s="10" t="str">
        <f t="shared" si="23"/>
        <v/>
      </c>
    </row>
    <row r="1455" spans="8:8" x14ac:dyDescent="0.25">
      <c r="H1455" s="10" t="str">
        <f t="shared" si="23"/>
        <v/>
      </c>
    </row>
    <row r="1456" spans="8:8" x14ac:dyDescent="0.25">
      <c r="H1456" s="10" t="str">
        <f t="shared" si="23"/>
        <v/>
      </c>
    </row>
    <row r="1457" spans="8:8" x14ac:dyDescent="0.25">
      <c r="H1457" s="10" t="str">
        <f t="shared" si="23"/>
        <v/>
      </c>
    </row>
    <row r="1458" spans="8:8" x14ac:dyDescent="0.25">
      <c r="H1458" s="10" t="str">
        <f t="shared" si="23"/>
        <v/>
      </c>
    </row>
    <row r="1459" spans="8:8" x14ac:dyDescent="0.25">
      <c r="H1459" s="10" t="str">
        <f t="shared" si="23"/>
        <v/>
      </c>
    </row>
    <row r="1460" spans="8:8" x14ac:dyDescent="0.25">
      <c r="H1460" s="10" t="str">
        <f t="shared" si="23"/>
        <v/>
      </c>
    </row>
    <row r="1461" spans="8:8" x14ac:dyDescent="0.25">
      <c r="H1461" s="10" t="str">
        <f t="shared" si="23"/>
        <v/>
      </c>
    </row>
    <row r="1462" spans="8:8" x14ac:dyDescent="0.25">
      <c r="H1462" s="10" t="str">
        <f t="shared" si="23"/>
        <v/>
      </c>
    </row>
    <row r="1463" spans="8:8" x14ac:dyDescent="0.25">
      <c r="H1463" s="10" t="str">
        <f t="shared" si="23"/>
        <v/>
      </c>
    </row>
    <row r="1464" spans="8:8" x14ac:dyDescent="0.25">
      <c r="H1464" s="10" t="str">
        <f t="shared" si="23"/>
        <v/>
      </c>
    </row>
    <row r="1465" spans="8:8" x14ac:dyDescent="0.25">
      <c r="H1465" s="10" t="str">
        <f t="shared" si="23"/>
        <v/>
      </c>
    </row>
    <row r="1466" spans="8:8" x14ac:dyDescent="0.25">
      <c r="H1466" s="10" t="str">
        <f t="shared" si="23"/>
        <v/>
      </c>
    </row>
    <row r="1467" spans="8:8" x14ac:dyDescent="0.25">
      <c r="H1467" s="10" t="str">
        <f t="shared" si="23"/>
        <v/>
      </c>
    </row>
    <row r="1468" spans="8:8" x14ac:dyDescent="0.25">
      <c r="H1468" s="10" t="str">
        <f t="shared" si="23"/>
        <v/>
      </c>
    </row>
    <row r="1469" spans="8:8" x14ac:dyDescent="0.25">
      <c r="H1469" s="10" t="str">
        <f t="shared" si="23"/>
        <v/>
      </c>
    </row>
    <row r="1470" spans="8:8" x14ac:dyDescent="0.25">
      <c r="H1470" s="10" t="str">
        <f t="shared" si="23"/>
        <v/>
      </c>
    </row>
    <row r="1471" spans="8:8" x14ac:dyDescent="0.25">
      <c r="H1471" s="10" t="str">
        <f t="shared" si="23"/>
        <v/>
      </c>
    </row>
    <row r="1472" spans="8:8" x14ac:dyDescent="0.25">
      <c r="H1472" s="10" t="str">
        <f t="shared" si="23"/>
        <v/>
      </c>
    </row>
    <row r="1473" spans="8:8" x14ac:dyDescent="0.25">
      <c r="H1473" s="10" t="str">
        <f t="shared" si="23"/>
        <v/>
      </c>
    </row>
    <row r="1474" spans="8:8" x14ac:dyDescent="0.25">
      <c r="H1474" s="10" t="str">
        <f t="shared" si="23"/>
        <v/>
      </c>
    </row>
    <row r="1475" spans="8:8" x14ac:dyDescent="0.25">
      <c r="H1475" s="10" t="str">
        <f t="shared" si="23"/>
        <v/>
      </c>
    </row>
    <row r="1476" spans="8:8" x14ac:dyDescent="0.25">
      <c r="H1476" s="10" t="str">
        <f t="shared" ref="H1476:H1539" si="24">IFERROR(DATEVALUE(C1476),"")</f>
        <v/>
      </c>
    </row>
    <row r="1477" spans="8:8" x14ac:dyDescent="0.25">
      <c r="H1477" s="10" t="str">
        <f t="shared" si="24"/>
        <v/>
      </c>
    </row>
    <row r="1478" spans="8:8" x14ac:dyDescent="0.25">
      <c r="H1478" s="10" t="str">
        <f t="shared" si="24"/>
        <v/>
      </c>
    </row>
    <row r="1479" spans="8:8" x14ac:dyDescent="0.25">
      <c r="H1479" s="10" t="str">
        <f t="shared" si="24"/>
        <v/>
      </c>
    </row>
    <row r="1480" spans="8:8" x14ac:dyDescent="0.25">
      <c r="H1480" s="10" t="str">
        <f t="shared" si="24"/>
        <v/>
      </c>
    </row>
    <row r="1481" spans="8:8" x14ac:dyDescent="0.25">
      <c r="H1481" s="10" t="str">
        <f t="shared" si="24"/>
        <v/>
      </c>
    </row>
    <row r="1482" spans="8:8" x14ac:dyDescent="0.25">
      <c r="H1482" s="10" t="str">
        <f t="shared" si="24"/>
        <v/>
      </c>
    </row>
    <row r="1483" spans="8:8" x14ac:dyDescent="0.25">
      <c r="H1483" s="10" t="str">
        <f t="shared" si="24"/>
        <v/>
      </c>
    </row>
    <row r="1484" spans="8:8" x14ac:dyDescent="0.25">
      <c r="H1484" s="10" t="str">
        <f t="shared" si="24"/>
        <v/>
      </c>
    </row>
    <row r="1485" spans="8:8" x14ac:dyDescent="0.25">
      <c r="H1485" s="10" t="str">
        <f t="shared" si="24"/>
        <v/>
      </c>
    </row>
    <row r="1486" spans="8:8" x14ac:dyDescent="0.25">
      <c r="H1486" s="10" t="str">
        <f t="shared" si="24"/>
        <v/>
      </c>
    </row>
    <row r="1487" spans="8:8" x14ac:dyDescent="0.25">
      <c r="H1487" s="10" t="str">
        <f t="shared" si="24"/>
        <v/>
      </c>
    </row>
    <row r="1488" spans="8:8" x14ac:dyDescent="0.25">
      <c r="H1488" s="10" t="str">
        <f t="shared" si="24"/>
        <v/>
      </c>
    </row>
    <row r="1489" spans="8:8" x14ac:dyDescent="0.25">
      <c r="H1489" s="10" t="str">
        <f t="shared" si="24"/>
        <v/>
      </c>
    </row>
    <row r="1490" spans="8:8" x14ac:dyDescent="0.25">
      <c r="H1490" s="10" t="str">
        <f t="shared" si="24"/>
        <v/>
      </c>
    </row>
    <row r="1491" spans="8:8" x14ac:dyDescent="0.25">
      <c r="H1491" s="10" t="str">
        <f t="shared" si="24"/>
        <v/>
      </c>
    </row>
    <row r="1492" spans="8:8" x14ac:dyDescent="0.25">
      <c r="H1492" s="10" t="str">
        <f t="shared" si="24"/>
        <v/>
      </c>
    </row>
    <row r="1493" spans="8:8" x14ac:dyDescent="0.25">
      <c r="H1493" s="10" t="str">
        <f t="shared" si="24"/>
        <v/>
      </c>
    </row>
    <row r="1494" spans="8:8" x14ac:dyDescent="0.25">
      <c r="H1494" s="10" t="str">
        <f t="shared" si="24"/>
        <v/>
      </c>
    </row>
    <row r="1495" spans="8:8" x14ac:dyDescent="0.25">
      <c r="H1495" s="10" t="str">
        <f t="shared" si="24"/>
        <v/>
      </c>
    </row>
    <row r="1496" spans="8:8" x14ac:dyDescent="0.25">
      <c r="H1496" s="10" t="str">
        <f t="shared" si="24"/>
        <v/>
      </c>
    </row>
    <row r="1497" spans="8:8" x14ac:dyDescent="0.25">
      <c r="H1497" s="10" t="str">
        <f t="shared" si="24"/>
        <v/>
      </c>
    </row>
    <row r="1498" spans="8:8" x14ac:dyDescent="0.25">
      <c r="H1498" s="10" t="str">
        <f t="shared" si="24"/>
        <v/>
      </c>
    </row>
    <row r="1499" spans="8:8" x14ac:dyDescent="0.25">
      <c r="H1499" s="10" t="str">
        <f t="shared" si="24"/>
        <v/>
      </c>
    </row>
    <row r="1500" spans="8:8" x14ac:dyDescent="0.25">
      <c r="H1500" s="10" t="str">
        <f t="shared" si="24"/>
        <v/>
      </c>
    </row>
    <row r="1501" spans="8:8" x14ac:dyDescent="0.25">
      <c r="H1501" s="10" t="str">
        <f t="shared" si="24"/>
        <v/>
      </c>
    </row>
    <row r="1502" spans="8:8" x14ac:dyDescent="0.25">
      <c r="H1502" s="10" t="str">
        <f t="shared" si="24"/>
        <v/>
      </c>
    </row>
    <row r="1503" spans="8:8" x14ac:dyDescent="0.25">
      <c r="H1503" s="10" t="str">
        <f t="shared" si="24"/>
        <v/>
      </c>
    </row>
    <row r="1504" spans="8:8" x14ac:dyDescent="0.25">
      <c r="H1504" s="10" t="str">
        <f t="shared" si="24"/>
        <v/>
      </c>
    </row>
    <row r="1505" spans="8:8" x14ac:dyDescent="0.25">
      <c r="H1505" s="10" t="str">
        <f t="shared" si="24"/>
        <v/>
      </c>
    </row>
    <row r="1506" spans="8:8" x14ac:dyDescent="0.25">
      <c r="H1506" s="10" t="str">
        <f t="shared" si="24"/>
        <v/>
      </c>
    </row>
    <row r="1507" spans="8:8" x14ac:dyDescent="0.25">
      <c r="H1507" s="10" t="str">
        <f t="shared" si="24"/>
        <v/>
      </c>
    </row>
    <row r="1508" spans="8:8" x14ac:dyDescent="0.25">
      <c r="H1508" s="10" t="str">
        <f t="shared" si="24"/>
        <v/>
      </c>
    </row>
    <row r="1509" spans="8:8" x14ac:dyDescent="0.25">
      <c r="H1509" s="10" t="str">
        <f t="shared" si="24"/>
        <v/>
      </c>
    </row>
    <row r="1510" spans="8:8" x14ac:dyDescent="0.25">
      <c r="H1510" s="10" t="str">
        <f t="shared" si="24"/>
        <v/>
      </c>
    </row>
    <row r="1511" spans="8:8" x14ac:dyDescent="0.25">
      <c r="H1511" s="10" t="str">
        <f t="shared" si="24"/>
        <v/>
      </c>
    </row>
    <row r="1512" spans="8:8" x14ac:dyDescent="0.25">
      <c r="H1512" s="10" t="str">
        <f t="shared" si="24"/>
        <v/>
      </c>
    </row>
    <row r="1513" spans="8:8" x14ac:dyDescent="0.25">
      <c r="H1513" s="10" t="str">
        <f t="shared" si="24"/>
        <v/>
      </c>
    </row>
    <row r="1514" spans="8:8" x14ac:dyDescent="0.25">
      <c r="H1514" s="10" t="str">
        <f t="shared" si="24"/>
        <v/>
      </c>
    </row>
    <row r="1515" spans="8:8" x14ac:dyDescent="0.25">
      <c r="H1515" s="10" t="str">
        <f t="shared" si="24"/>
        <v/>
      </c>
    </row>
    <row r="1516" spans="8:8" x14ac:dyDescent="0.25">
      <c r="H1516" s="10" t="str">
        <f t="shared" si="24"/>
        <v/>
      </c>
    </row>
    <row r="1517" spans="8:8" x14ac:dyDescent="0.25">
      <c r="H1517" s="10" t="str">
        <f t="shared" si="24"/>
        <v/>
      </c>
    </row>
    <row r="1518" spans="8:8" x14ac:dyDescent="0.25">
      <c r="H1518" s="10" t="str">
        <f t="shared" si="24"/>
        <v/>
      </c>
    </row>
    <row r="1519" spans="8:8" x14ac:dyDescent="0.25">
      <c r="H1519" s="10" t="str">
        <f t="shared" si="24"/>
        <v/>
      </c>
    </row>
    <row r="1520" spans="8:8" x14ac:dyDescent="0.25">
      <c r="H1520" s="10" t="str">
        <f t="shared" si="24"/>
        <v/>
      </c>
    </row>
    <row r="1521" spans="8:8" x14ac:dyDescent="0.25">
      <c r="H1521" s="10" t="str">
        <f t="shared" si="24"/>
        <v/>
      </c>
    </row>
    <row r="1522" spans="8:8" x14ac:dyDescent="0.25">
      <c r="H1522" s="10" t="str">
        <f t="shared" si="24"/>
        <v/>
      </c>
    </row>
    <row r="1523" spans="8:8" x14ac:dyDescent="0.25">
      <c r="H1523" s="10" t="str">
        <f t="shared" si="24"/>
        <v/>
      </c>
    </row>
    <row r="1524" spans="8:8" x14ac:dyDescent="0.25">
      <c r="H1524" s="10" t="str">
        <f t="shared" si="24"/>
        <v/>
      </c>
    </row>
    <row r="1525" spans="8:8" x14ac:dyDescent="0.25">
      <c r="H1525" s="10" t="str">
        <f t="shared" si="24"/>
        <v/>
      </c>
    </row>
    <row r="1526" spans="8:8" x14ac:dyDescent="0.25">
      <c r="H1526" s="10" t="str">
        <f t="shared" si="24"/>
        <v/>
      </c>
    </row>
    <row r="1527" spans="8:8" x14ac:dyDescent="0.25">
      <c r="H1527" s="10" t="str">
        <f t="shared" si="24"/>
        <v/>
      </c>
    </row>
    <row r="1528" spans="8:8" x14ac:dyDescent="0.25">
      <c r="H1528" s="10" t="str">
        <f t="shared" si="24"/>
        <v/>
      </c>
    </row>
    <row r="1529" spans="8:8" x14ac:dyDescent="0.25">
      <c r="H1529" s="10" t="str">
        <f t="shared" si="24"/>
        <v/>
      </c>
    </row>
    <row r="1530" spans="8:8" x14ac:dyDescent="0.25">
      <c r="H1530" s="10" t="str">
        <f t="shared" si="24"/>
        <v/>
      </c>
    </row>
    <row r="1531" spans="8:8" x14ac:dyDescent="0.25">
      <c r="H1531" s="10" t="str">
        <f t="shared" si="24"/>
        <v/>
      </c>
    </row>
    <row r="1532" spans="8:8" x14ac:dyDescent="0.25">
      <c r="H1532" s="10" t="str">
        <f t="shared" si="24"/>
        <v/>
      </c>
    </row>
    <row r="1533" spans="8:8" x14ac:dyDescent="0.25">
      <c r="H1533" s="10" t="str">
        <f t="shared" si="24"/>
        <v/>
      </c>
    </row>
    <row r="1534" spans="8:8" x14ac:dyDescent="0.25">
      <c r="H1534" s="10" t="str">
        <f t="shared" si="24"/>
        <v/>
      </c>
    </row>
    <row r="1535" spans="8:8" x14ac:dyDescent="0.25">
      <c r="H1535" s="10" t="str">
        <f t="shared" si="24"/>
        <v/>
      </c>
    </row>
    <row r="1536" spans="8:8" x14ac:dyDescent="0.25">
      <c r="H1536" s="10" t="str">
        <f t="shared" si="24"/>
        <v/>
      </c>
    </row>
    <row r="1537" spans="8:8" x14ac:dyDescent="0.25">
      <c r="H1537" s="10" t="str">
        <f t="shared" si="24"/>
        <v/>
      </c>
    </row>
    <row r="1538" spans="8:8" x14ac:dyDescent="0.25">
      <c r="H1538" s="10" t="str">
        <f t="shared" si="24"/>
        <v/>
      </c>
    </row>
    <row r="1539" spans="8:8" x14ac:dyDescent="0.25">
      <c r="H1539" s="10" t="str">
        <f t="shared" si="24"/>
        <v/>
      </c>
    </row>
    <row r="1540" spans="8:8" x14ac:dyDescent="0.25">
      <c r="H1540" s="10" t="str">
        <f t="shared" ref="H1540:H1603" si="25">IFERROR(DATEVALUE(C1540),"")</f>
        <v/>
      </c>
    </row>
    <row r="1541" spans="8:8" x14ac:dyDescent="0.25">
      <c r="H1541" s="10" t="str">
        <f t="shared" si="25"/>
        <v/>
      </c>
    </row>
    <row r="1542" spans="8:8" x14ac:dyDescent="0.25">
      <c r="H1542" s="10" t="str">
        <f t="shared" si="25"/>
        <v/>
      </c>
    </row>
    <row r="1543" spans="8:8" x14ac:dyDescent="0.25">
      <c r="H1543" s="10" t="str">
        <f t="shared" si="25"/>
        <v/>
      </c>
    </row>
    <row r="1544" spans="8:8" x14ac:dyDescent="0.25">
      <c r="H1544" s="10" t="str">
        <f t="shared" si="25"/>
        <v/>
      </c>
    </row>
    <row r="1545" spans="8:8" x14ac:dyDescent="0.25">
      <c r="H1545" s="10" t="str">
        <f t="shared" si="25"/>
        <v/>
      </c>
    </row>
    <row r="1546" spans="8:8" x14ac:dyDescent="0.25">
      <c r="H1546" s="10" t="str">
        <f t="shared" si="25"/>
        <v/>
      </c>
    </row>
    <row r="1547" spans="8:8" x14ac:dyDescent="0.25">
      <c r="H1547" s="10" t="str">
        <f t="shared" si="25"/>
        <v/>
      </c>
    </row>
    <row r="1548" spans="8:8" x14ac:dyDescent="0.25">
      <c r="H1548" s="10" t="str">
        <f t="shared" si="25"/>
        <v/>
      </c>
    </row>
    <row r="1549" spans="8:8" x14ac:dyDescent="0.25">
      <c r="H1549" s="10" t="str">
        <f t="shared" si="25"/>
        <v/>
      </c>
    </row>
    <row r="1550" spans="8:8" x14ac:dyDescent="0.25">
      <c r="H1550" s="10" t="str">
        <f t="shared" si="25"/>
        <v/>
      </c>
    </row>
    <row r="1551" spans="8:8" x14ac:dyDescent="0.25">
      <c r="H1551" s="10" t="str">
        <f t="shared" si="25"/>
        <v/>
      </c>
    </row>
    <row r="1552" spans="8:8" x14ac:dyDescent="0.25">
      <c r="H1552" s="10" t="str">
        <f t="shared" si="25"/>
        <v/>
      </c>
    </row>
    <row r="1553" spans="8:8" x14ac:dyDescent="0.25">
      <c r="H1553" s="10" t="str">
        <f t="shared" si="25"/>
        <v/>
      </c>
    </row>
    <row r="1554" spans="8:8" x14ac:dyDescent="0.25">
      <c r="H1554" s="10" t="str">
        <f t="shared" si="25"/>
        <v/>
      </c>
    </row>
    <row r="1555" spans="8:8" x14ac:dyDescent="0.25">
      <c r="H1555" s="10" t="str">
        <f t="shared" si="25"/>
        <v/>
      </c>
    </row>
    <row r="1556" spans="8:8" x14ac:dyDescent="0.25">
      <c r="H1556" s="10" t="str">
        <f t="shared" si="25"/>
        <v/>
      </c>
    </row>
    <row r="1557" spans="8:8" x14ac:dyDescent="0.25">
      <c r="H1557" s="10" t="str">
        <f t="shared" si="25"/>
        <v/>
      </c>
    </row>
    <row r="1558" spans="8:8" x14ac:dyDescent="0.25">
      <c r="H1558" s="10" t="str">
        <f t="shared" si="25"/>
        <v/>
      </c>
    </row>
    <row r="1559" spans="8:8" x14ac:dyDescent="0.25">
      <c r="H1559" s="10" t="str">
        <f t="shared" si="25"/>
        <v/>
      </c>
    </row>
    <row r="1560" spans="8:8" x14ac:dyDescent="0.25">
      <c r="H1560" s="10" t="str">
        <f t="shared" si="25"/>
        <v/>
      </c>
    </row>
    <row r="1561" spans="8:8" x14ac:dyDescent="0.25">
      <c r="H1561" s="10" t="str">
        <f t="shared" si="25"/>
        <v/>
      </c>
    </row>
    <row r="1562" spans="8:8" x14ac:dyDescent="0.25">
      <c r="H1562" s="10" t="str">
        <f t="shared" si="25"/>
        <v/>
      </c>
    </row>
    <row r="1563" spans="8:8" x14ac:dyDescent="0.25">
      <c r="H1563" s="10" t="str">
        <f t="shared" si="25"/>
        <v/>
      </c>
    </row>
    <row r="1564" spans="8:8" x14ac:dyDescent="0.25">
      <c r="H1564" s="10" t="str">
        <f t="shared" si="25"/>
        <v/>
      </c>
    </row>
    <row r="1565" spans="8:8" x14ac:dyDescent="0.25">
      <c r="H1565" s="10" t="str">
        <f t="shared" si="25"/>
        <v/>
      </c>
    </row>
    <row r="1566" spans="8:8" x14ac:dyDescent="0.25">
      <c r="H1566" s="10" t="str">
        <f t="shared" si="25"/>
        <v/>
      </c>
    </row>
    <row r="1567" spans="8:8" x14ac:dyDescent="0.25">
      <c r="H1567" s="10" t="str">
        <f t="shared" si="25"/>
        <v/>
      </c>
    </row>
    <row r="1568" spans="8:8" x14ac:dyDescent="0.25">
      <c r="H1568" s="10" t="str">
        <f t="shared" si="25"/>
        <v/>
      </c>
    </row>
    <row r="1569" spans="8:8" x14ac:dyDescent="0.25">
      <c r="H1569" s="10" t="str">
        <f t="shared" si="25"/>
        <v/>
      </c>
    </row>
    <row r="1570" spans="8:8" x14ac:dyDescent="0.25">
      <c r="H1570" s="10" t="str">
        <f t="shared" si="25"/>
        <v/>
      </c>
    </row>
    <row r="1571" spans="8:8" x14ac:dyDescent="0.25">
      <c r="H1571" s="10" t="str">
        <f t="shared" si="25"/>
        <v/>
      </c>
    </row>
    <row r="1572" spans="8:8" x14ac:dyDescent="0.25">
      <c r="H1572" s="10" t="str">
        <f t="shared" si="25"/>
        <v/>
      </c>
    </row>
    <row r="1573" spans="8:8" x14ac:dyDescent="0.25">
      <c r="H1573" s="10" t="str">
        <f t="shared" si="25"/>
        <v/>
      </c>
    </row>
    <row r="1574" spans="8:8" x14ac:dyDescent="0.25">
      <c r="H1574" s="10" t="str">
        <f t="shared" si="25"/>
        <v/>
      </c>
    </row>
    <row r="1575" spans="8:8" x14ac:dyDescent="0.25">
      <c r="H1575" s="10" t="str">
        <f t="shared" si="25"/>
        <v/>
      </c>
    </row>
    <row r="1576" spans="8:8" x14ac:dyDescent="0.25">
      <c r="H1576" s="10" t="str">
        <f t="shared" si="25"/>
        <v/>
      </c>
    </row>
    <row r="1577" spans="8:8" x14ac:dyDescent="0.25">
      <c r="H1577" s="10" t="str">
        <f t="shared" si="25"/>
        <v/>
      </c>
    </row>
    <row r="1578" spans="8:8" x14ac:dyDescent="0.25">
      <c r="H1578" s="10" t="str">
        <f t="shared" si="25"/>
        <v/>
      </c>
    </row>
    <row r="1579" spans="8:8" x14ac:dyDescent="0.25">
      <c r="H1579" s="10" t="str">
        <f t="shared" si="25"/>
        <v/>
      </c>
    </row>
    <row r="1580" spans="8:8" x14ac:dyDescent="0.25">
      <c r="H1580" s="10" t="str">
        <f t="shared" si="25"/>
        <v/>
      </c>
    </row>
    <row r="1581" spans="8:8" x14ac:dyDescent="0.25">
      <c r="H1581" s="10" t="str">
        <f t="shared" si="25"/>
        <v/>
      </c>
    </row>
    <row r="1582" spans="8:8" x14ac:dyDescent="0.25">
      <c r="H1582" s="10" t="str">
        <f t="shared" si="25"/>
        <v/>
      </c>
    </row>
    <row r="1583" spans="8:8" x14ac:dyDescent="0.25">
      <c r="H1583" s="10" t="str">
        <f t="shared" si="25"/>
        <v/>
      </c>
    </row>
    <row r="1584" spans="8:8" x14ac:dyDescent="0.25">
      <c r="H1584" s="10" t="str">
        <f t="shared" si="25"/>
        <v/>
      </c>
    </row>
    <row r="1585" spans="8:8" x14ac:dyDescent="0.25">
      <c r="H1585" s="10" t="str">
        <f t="shared" si="25"/>
        <v/>
      </c>
    </row>
    <row r="1586" spans="8:8" x14ac:dyDescent="0.25">
      <c r="H1586" s="10" t="str">
        <f t="shared" si="25"/>
        <v/>
      </c>
    </row>
    <row r="1587" spans="8:8" x14ac:dyDescent="0.25">
      <c r="H1587" s="10" t="str">
        <f t="shared" si="25"/>
        <v/>
      </c>
    </row>
    <row r="1588" spans="8:8" x14ac:dyDescent="0.25">
      <c r="H1588" s="10" t="str">
        <f t="shared" si="25"/>
        <v/>
      </c>
    </row>
    <row r="1589" spans="8:8" x14ac:dyDescent="0.25">
      <c r="H1589" s="10" t="str">
        <f t="shared" si="25"/>
        <v/>
      </c>
    </row>
    <row r="1590" spans="8:8" x14ac:dyDescent="0.25">
      <c r="H1590" s="10" t="str">
        <f t="shared" si="25"/>
        <v/>
      </c>
    </row>
    <row r="1591" spans="8:8" x14ac:dyDescent="0.25">
      <c r="H1591" s="10" t="str">
        <f t="shared" si="25"/>
        <v/>
      </c>
    </row>
    <row r="1592" spans="8:8" x14ac:dyDescent="0.25">
      <c r="H1592" s="10" t="str">
        <f t="shared" si="25"/>
        <v/>
      </c>
    </row>
    <row r="1593" spans="8:8" x14ac:dyDescent="0.25">
      <c r="H1593" s="10" t="str">
        <f t="shared" si="25"/>
        <v/>
      </c>
    </row>
    <row r="1594" spans="8:8" x14ac:dyDescent="0.25">
      <c r="H1594" s="10" t="str">
        <f t="shared" si="25"/>
        <v/>
      </c>
    </row>
    <row r="1595" spans="8:8" x14ac:dyDescent="0.25">
      <c r="H1595" s="10" t="str">
        <f t="shared" si="25"/>
        <v/>
      </c>
    </row>
    <row r="1596" spans="8:8" x14ac:dyDescent="0.25">
      <c r="H1596" s="10" t="str">
        <f t="shared" si="25"/>
        <v/>
      </c>
    </row>
    <row r="1597" spans="8:8" x14ac:dyDescent="0.25">
      <c r="H1597" s="10" t="str">
        <f t="shared" si="25"/>
        <v/>
      </c>
    </row>
    <row r="1598" spans="8:8" x14ac:dyDescent="0.25">
      <c r="H1598" s="10" t="str">
        <f t="shared" si="25"/>
        <v/>
      </c>
    </row>
    <row r="1599" spans="8:8" x14ac:dyDescent="0.25">
      <c r="H1599" s="10" t="str">
        <f t="shared" si="25"/>
        <v/>
      </c>
    </row>
    <row r="1600" spans="8:8" x14ac:dyDescent="0.25">
      <c r="H1600" s="10" t="str">
        <f t="shared" si="25"/>
        <v/>
      </c>
    </row>
    <row r="1601" spans="8:8" x14ac:dyDescent="0.25">
      <c r="H1601" s="10" t="str">
        <f t="shared" si="25"/>
        <v/>
      </c>
    </row>
    <row r="1602" spans="8:8" x14ac:dyDescent="0.25">
      <c r="H1602" s="10" t="str">
        <f t="shared" si="25"/>
        <v/>
      </c>
    </row>
    <row r="1603" spans="8:8" x14ac:dyDescent="0.25">
      <c r="H1603" s="10" t="str">
        <f t="shared" si="25"/>
        <v/>
      </c>
    </row>
    <row r="1604" spans="8:8" x14ac:dyDescent="0.25">
      <c r="H1604" s="10" t="str">
        <f t="shared" ref="H1604:H1667" si="26">IFERROR(DATEVALUE(C1604),"")</f>
        <v/>
      </c>
    </row>
    <row r="1605" spans="8:8" x14ac:dyDescent="0.25">
      <c r="H1605" s="10" t="str">
        <f t="shared" si="26"/>
        <v/>
      </c>
    </row>
    <row r="1606" spans="8:8" x14ac:dyDescent="0.25">
      <c r="H1606" s="10" t="str">
        <f t="shared" si="26"/>
        <v/>
      </c>
    </row>
    <row r="1607" spans="8:8" x14ac:dyDescent="0.25">
      <c r="H1607" s="10" t="str">
        <f t="shared" si="26"/>
        <v/>
      </c>
    </row>
    <row r="1608" spans="8:8" x14ac:dyDescent="0.25">
      <c r="H1608" s="10" t="str">
        <f t="shared" si="26"/>
        <v/>
      </c>
    </row>
    <row r="1609" spans="8:8" x14ac:dyDescent="0.25">
      <c r="H1609" s="10" t="str">
        <f t="shared" si="26"/>
        <v/>
      </c>
    </row>
    <row r="1610" spans="8:8" x14ac:dyDescent="0.25">
      <c r="H1610" s="10" t="str">
        <f t="shared" si="26"/>
        <v/>
      </c>
    </row>
    <row r="1611" spans="8:8" x14ac:dyDescent="0.25">
      <c r="H1611" s="10" t="str">
        <f t="shared" si="26"/>
        <v/>
      </c>
    </row>
    <row r="1612" spans="8:8" x14ac:dyDescent="0.25">
      <c r="H1612" s="10" t="str">
        <f t="shared" si="26"/>
        <v/>
      </c>
    </row>
    <row r="1613" spans="8:8" x14ac:dyDescent="0.25">
      <c r="H1613" s="10" t="str">
        <f t="shared" si="26"/>
        <v/>
      </c>
    </row>
    <row r="1614" spans="8:8" x14ac:dyDescent="0.25">
      <c r="H1614" s="10" t="str">
        <f t="shared" si="26"/>
        <v/>
      </c>
    </row>
    <row r="1615" spans="8:8" x14ac:dyDescent="0.25">
      <c r="H1615" s="10" t="str">
        <f t="shared" si="26"/>
        <v/>
      </c>
    </row>
    <row r="1616" spans="8:8" x14ac:dyDescent="0.25">
      <c r="H1616" s="10" t="str">
        <f t="shared" si="26"/>
        <v/>
      </c>
    </row>
    <row r="1617" spans="8:8" x14ac:dyDescent="0.25">
      <c r="H1617" s="10" t="str">
        <f t="shared" si="26"/>
        <v/>
      </c>
    </row>
    <row r="1618" spans="8:8" x14ac:dyDescent="0.25">
      <c r="H1618" s="10" t="str">
        <f t="shared" si="26"/>
        <v/>
      </c>
    </row>
    <row r="1619" spans="8:8" x14ac:dyDescent="0.25">
      <c r="H1619" s="10" t="str">
        <f t="shared" si="26"/>
        <v/>
      </c>
    </row>
    <row r="1620" spans="8:8" x14ac:dyDescent="0.25">
      <c r="H1620" s="10" t="str">
        <f t="shared" si="26"/>
        <v/>
      </c>
    </row>
    <row r="1621" spans="8:8" x14ac:dyDescent="0.25">
      <c r="H1621" s="10" t="str">
        <f t="shared" si="26"/>
        <v/>
      </c>
    </row>
    <row r="1622" spans="8:8" x14ac:dyDescent="0.25">
      <c r="H1622" s="10" t="str">
        <f t="shared" si="26"/>
        <v/>
      </c>
    </row>
    <row r="1623" spans="8:8" x14ac:dyDescent="0.25">
      <c r="H1623" s="10" t="str">
        <f t="shared" si="26"/>
        <v/>
      </c>
    </row>
    <row r="1624" spans="8:8" x14ac:dyDescent="0.25">
      <c r="H1624" s="10" t="str">
        <f t="shared" si="26"/>
        <v/>
      </c>
    </row>
    <row r="1625" spans="8:8" x14ac:dyDescent="0.25">
      <c r="H1625" s="10" t="str">
        <f t="shared" si="26"/>
        <v/>
      </c>
    </row>
    <row r="1626" spans="8:8" x14ac:dyDescent="0.25">
      <c r="H1626" s="10" t="str">
        <f t="shared" si="26"/>
        <v/>
      </c>
    </row>
    <row r="1627" spans="8:8" x14ac:dyDescent="0.25">
      <c r="H1627" s="10" t="str">
        <f t="shared" si="26"/>
        <v/>
      </c>
    </row>
    <row r="1628" spans="8:8" x14ac:dyDescent="0.25">
      <c r="H1628" s="10" t="str">
        <f t="shared" si="26"/>
        <v/>
      </c>
    </row>
    <row r="1629" spans="8:8" x14ac:dyDescent="0.25">
      <c r="H1629" s="10" t="str">
        <f t="shared" si="26"/>
        <v/>
      </c>
    </row>
    <row r="1630" spans="8:8" x14ac:dyDescent="0.25">
      <c r="H1630" s="10" t="str">
        <f t="shared" si="26"/>
        <v/>
      </c>
    </row>
    <row r="1631" spans="8:8" x14ac:dyDescent="0.25">
      <c r="H1631" s="10" t="str">
        <f t="shared" si="26"/>
        <v/>
      </c>
    </row>
    <row r="1632" spans="8:8" x14ac:dyDescent="0.25">
      <c r="H1632" s="10" t="str">
        <f t="shared" si="26"/>
        <v/>
      </c>
    </row>
    <row r="1633" spans="8:8" x14ac:dyDescent="0.25">
      <c r="H1633" s="10" t="str">
        <f t="shared" si="26"/>
        <v/>
      </c>
    </row>
    <row r="1634" spans="8:8" x14ac:dyDescent="0.25">
      <c r="H1634" s="10" t="str">
        <f t="shared" si="26"/>
        <v/>
      </c>
    </row>
    <row r="1635" spans="8:8" x14ac:dyDescent="0.25">
      <c r="H1635" s="10" t="str">
        <f t="shared" si="26"/>
        <v/>
      </c>
    </row>
    <row r="1636" spans="8:8" x14ac:dyDescent="0.25">
      <c r="H1636" s="10" t="str">
        <f t="shared" si="26"/>
        <v/>
      </c>
    </row>
    <row r="1637" spans="8:8" x14ac:dyDescent="0.25">
      <c r="H1637" s="10" t="str">
        <f t="shared" si="26"/>
        <v/>
      </c>
    </row>
    <row r="1638" spans="8:8" x14ac:dyDescent="0.25">
      <c r="H1638" s="10" t="str">
        <f t="shared" si="26"/>
        <v/>
      </c>
    </row>
    <row r="1639" spans="8:8" x14ac:dyDescent="0.25">
      <c r="H1639" s="10" t="str">
        <f t="shared" si="26"/>
        <v/>
      </c>
    </row>
    <row r="1640" spans="8:8" x14ac:dyDescent="0.25">
      <c r="H1640" s="10" t="str">
        <f t="shared" si="26"/>
        <v/>
      </c>
    </row>
    <row r="1641" spans="8:8" x14ac:dyDescent="0.25">
      <c r="H1641" s="10" t="str">
        <f t="shared" si="26"/>
        <v/>
      </c>
    </row>
    <row r="1642" spans="8:8" x14ac:dyDescent="0.25">
      <c r="H1642" s="10" t="str">
        <f t="shared" si="26"/>
        <v/>
      </c>
    </row>
    <row r="1643" spans="8:8" x14ac:dyDescent="0.25">
      <c r="H1643" s="10" t="str">
        <f t="shared" si="26"/>
        <v/>
      </c>
    </row>
    <row r="1644" spans="8:8" x14ac:dyDescent="0.25">
      <c r="H1644" s="10" t="str">
        <f t="shared" si="26"/>
        <v/>
      </c>
    </row>
    <row r="1645" spans="8:8" x14ac:dyDescent="0.25">
      <c r="H1645" s="10" t="str">
        <f t="shared" si="26"/>
        <v/>
      </c>
    </row>
    <row r="1646" spans="8:8" x14ac:dyDescent="0.25">
      <c r="H1646" s="10" t="str">
        <f t="shared" si="26"/>
        <v/>
      </c>
    </row>
    <row r="1647" spans="8:8" x14ac:dyDescent="0.25">
      <c r="H1647" s="10" t="str">
        <f t="shared" si="26"/>
        <v/>
      </c>
    </row>
    <row r="1648" spans="8:8" x14ac:dyDescent="0.25">
      <c r="H1648" s="10" t="str">
        <f t="shared" si="26"/>
        <v/>
      </c>
    </row>
    <row r="1649" spans="8:8" x14ac:dyDescent="0.25">
      <c r="H1649" s="10" t="str">
        <f t="shared" si="26"/>
        <v/>
      </c>
    </row>
    <row r="1650" spans="8:8" x14ac:dyDescent="0.25">
      <c r="H1650" s="10" t="str">
        <f t="shared" si="26"/>
        <v/>
      </c>
    </row>
    <row r="1651" spans="8:8" x14ac:dyDescent="0.25">
      <c r="H1651" s="10" t="str">
        <f t="shared" si="26"/>
        <v/>
      </c>
    </row>
    <row r="1652" spans="8:8" x14ac:dyDescent="0.25">
      <c r="H1652" s="10" t="str">
        <f t="shared" si="26"/>
        <v/>
      </c>
    </row>
    <row r="1653" spans="8:8" x14ac:dyDescent="0.25">
      <c r="H1653" s="10" t="str">
        <f t="shared" si="26"/>
        <v/>
      </c>
    </row>
    <row r="1654" spans="8:8" x14ac:dyDescent="0.25">
      <c r="H1654" s="10" t="str">
        <f t="shared" si="26"/>
        <v/>
      </c>
    </row>
    <row r="1655" spans="8:8" x14ac:dyDescent="0.25">
      <c r="H1655" s="10" t="str">
        <f t="shared" si="26"/>
        <v/>
      </c>
    </row>
    <row r="1656" spans="8:8" x14ac:dyDescent="0.25">
      <c r="H1656" s="10" t="str">
        <f t="shared" si="26"/>
        <v/>
      </c>
    </row>
    <row r="1657" spans="8:8" x14ac:dyDescent="0.25">
      <c r="H1657" s="10" t="str">
        <f t="shared" si="26"/>
        <v/>
      </c>
    </row>
    <row r="1658" spans="8:8" x14ac:dyDescent="0.25">
      <c r="H1658" s="10" t="str">
        <f t="shared" si="26"/>
        <v/>
      </c>
    </row>
    <row r="1659" spans="8:8" x14ac:dyDescent="0.25">
      <c r="H1659" s="10" t="str">
        <f t="shared" si="26"/>
        <v/>
      </c>
    </row>
    <row r="1660" spans="8:8" x14ac:dyDescent="0.25">
      <c r="H1660" s="10" t="str">
        <f t="shared" si="26"/>
        <v/>
      </c>
    </row>
    <row r="1661" spans="8:8" x14ac:dyDescent="0.25">
      <c r="H1661" s="10" t="str">
        <f t="shared" si="26"/>
        <v/>
      </c>
    </row>
    <row r="1662" spans="8:8" x14ac:dyDescent="0.25">
      <c r="H1662" s="10" t="str">
        <f t="shared" si="26"/>
        <v/>
      </c>
    </row>
    <row r="1663" spans="8:8" x14ac:dyDescent="0.25">
      <c r="H1663" s="10" t="str">
        <f t="shared" si="26"/>
        <v/>
      </c>
    </row>
    <row r="1664" spans="8:8" x14ac:dyDescent="0.25">
      <c r="H1664" s="10" t="str">
        <f t="shared" si="26"/>
        <v/>
      </c>
    </row>
    <row r="1665" spans="8:8" x14ac:dyDescent="0.25">
      <c r="H1665" s="10" t="str">
        <f t="shared" si="26"/>
        <v/>
      </c>
    </row>
    <row r="1666" spans="8:8" x14ac:dyDescent="0.25">
      <c r="H1666" s="10" t="str">
        <f t="shared" si="26"/>
        <v/>
      </c>
    </row>
    <row r="1667" spans="8:8" x14ac:dyDescent="0.25">
      <c r="H1667" s="10" t="str">
        <f t="shared" si="26"/>
        <v/>
      </c>
    </row>
    <row r="1668" spans="8:8" x14ac:dyDescent="0.25">
      <c r="H1668" s="10" t="str">
        <f t="shared" ref="H1668:H1731" si="27">IFERROR(DATEVALUE(C1668),"")</f>
        <v/>
      </c>
    </row>
    <row r="1669" spans="8:8" x14ac:dyDescent="0.25">
      <c r="H1669" s="10" t="str">
        <f t="shared" si="27"/>
        <v/>
      </c>
    </row>
    <row r="1670" spans="8:8" x14ac:dyDescent="0.25">
      <c r="H1670" s="10" t="str">
        <f t="shared" si="27"/>
        <v/>
      </c>
    </row>
    <row r="1671" spans="8:8" x14ac:dyDescent="0.25">
      <c r="H1671" s="10" t="str">
        <f t="shared" si="27"/>
        <v/>
      </c>
    </row>
    <row r="1672" spans="8:8" x14ac:dyDescent="0.25">
      <c r="H1672" s="10" t="str">
        <f t="shared" si="27"/>
        <v/>
      </c>
    </row>
    <row r="1673" spans="8:8" x14ac:dyDescent="0.25">
      <c r="H1673" s="10" t="str">
        <f t="shared" si="27"/>
        <v/>
      </c>
    </row>
    <row r="1674" spans="8:8" x14ac:dyDescent="0.25">
      <c r="H1674" s="10" t="str">
        <f t="shared" si="27"/>
        <v/>
      </c>
    </row>
    <row r="1675" spans="8:8" x14ac:dyDescent="0.25">
      <c r="H1675" s="10" t="str">
        <f t="shared" si="27"/>
        <v/>
      </c>
    </row>
    <row r="1676" spans="8:8" x14ac:dyDescent="0.25">
      <c r="H1676" s="10" t="str">
        <f t="shared" si="27"/>
        <v/>
      </c>
    </row>
    <row r="1677" spans="8:8" x14ac:dyDescent="0.25">
      <c r="H1677" s="10" t="str">
        <f t="shared" si="27"/>
        <v/>
      </c>
    </row>
    <row r="1678" spans="8:8" x14ac:dyDescent="0.25">
      <c r="H1678" s="10" t="str">
        <f t="shared" si="27"/>
        <v/>
      </c>
    </row>
    <row r="1679" spans="8:8" x14ac:dyDescent="0.25">
      <c r="H1679" s="10" t="str">
        <f t="shared" si="27"/>
        <v/>
      </c>
    </row>
    <row r="1680" spans="8:8" x14ac:dyDescent="0.25">
      <c r="H1680" s="10" t="str">
        <f t="shared" si="27"/>
        <v/>
      </c>
    </row>
    <row r="1681" spans="8:8" x14ac:dyDescent="0.25">
      <c r="H1681" s="10" t="str">
        <f t="shared" si="27"/>
        <v/>
      </c>
    </row>
    <row r="1682" spans="8:8" x14ac:dyDescent="0.25">
      <c r="H1682" s="10" t="str">
        <f t="shared" si="27"/>
        <v/>
      </c>
    </row>
    <row r="1683" spans="8:8" x14ac:dyDescent="0.25">
      <c r="H1683" s="10" t="str">
        <f t="shared" si="27"/>
        <v/>
      </c>
    </row>
    <row r="1684" spans="8:8" x14ac:dyDescent="0.25">
      <c r="H1684" s="10" t="str">
        <f t="shared" si="27"/>
        <v/>
      </c>
    </row>
    <row r="1685" spans="8:8" x14ac:dyDescent="0.25">
      <c r="H1685" s="10" t="str">
        <f t="shared" si="27"/>
        <v/>
      </c>
    </row>
    <row r="1686" spans="8:8" x14ac:dyDescent="0.25">
      <c r="H1686" s="10" t="str">
        <f t="shared" si="27"/>
        <v/>
      </c>
    </row>
    <row r="1687" spans="8:8" x14ac:dyDescent="0.25">
      <c r="H1687" s="10" t="str">
        <f t="shared" si="27"/>
        <v/>
      </c>
    </row>
    <row r="1688" spans="8:8" x14ac:dyDescent="0.25">
      <c r="H1688" s="10" t="str">
        <f t="shared" si="27"/>
        <v/>
      </c>
    </row>
    <row r="1689" spans="8:8" x14ac:dyDescent="0.25">
      <c r="H1689" s="10" t="str">
        <f t="shared" si="27"/>
        <v/>
      </c>
    </row>
    <row r="1690" spans="8:8" x14ac:dyDescent="0.25">
      <c r="H1690" s="10" t="str">
        <f t="shared" si="27"/>
        <v/>
      </c>
    </row>
    <row r="1691" spans="8:8" x14ac:dyDescent="0.25">
      <c r="H1691" s="10" t="str">
        <f t="shared" si="27"/>
        <v/>
      </c>
    </row>
    <row r="1692" spans="8:8" x14ac:dyDescent="0.25">
      <c r="H1692" s="10" t="str">
        <f t="shared" si="27"/>
        <v/>
      </c>
    </row>
    <row r="1693" spans="8:8" x14ac:dyDescent="0.25">
      <c r="H1693" s="10" t="str">
        <f t="shared" si="27"/>
        <v/>
      </c>
    </row>
    <row r="1694" spans="8:8" x14ac:dyDescent="0.25">
      <c r="H1694" s="10" t="str">
        <f t="shared" si="27"/>
        <v/>
      </c>
    </row>
    <row r="1695" spans="8:8" x14ac:dyDescent="0.25">
      <c r="H1695" s="10" t="str">
        <f t="shared" si="27"/>
        <v/>
      </c>
    </row>
    <row r="1696" spans="8:8" x14ac:dyDescent="0.25">
      <c r="H1696" s="10" t="str">
        <f t="shared" si="27"/>
        <v/>
      </c>
    </row>
    <row r="1697" spans="8:8" x14ac:dyDescent="0.25">
      <c r="H1697" s="10" t="str">
        <f t="shared" si="27"/>
        <v/>
      </c>
    </row>
    <row r="1698" spans="8:8" x14ac:dyDescent="0.25">
      <c r="H1698" s="10" t="str">
        <f t="shared" si="27"/>
        <v/>
      </c>
    </row>
    <row r="1699" spans="8:8" x14ac:dyDescent="0.25">
      <c r="H1699" s="10" t="str">
        <f t="shared" si="27"/>
        <v/>
      </c>
    </row>
    <row r="1700" spans="8:8" x14ac:dyDescent="0.25">
      <c r="H1700" s="10" t="str">
        <f t="shared" si="27"/>
        <v/>
      </c>
    </row>
    <row r="1701" spans="8:8" x14ac:dyDescent="0.25">
      <c r="H1701" s="10" t="str">
        <f t="shared" si="27"/>
        <v/>
      </c>
    </row>
    <row r="1702" spans="8:8" x14ac:dyDescent="0.25">
      <c r="H1702" s="10" t="str">
        <f t="shared" si="27"/>
        <v/>
      </c>
    </row>
    <row r="1703" spans="8:8" x14ac:dyDescent="0.25">
      <c r="H1703" s="10" t="str">
        <f t="shared" si="27"/>
        <v/>
      </c>
    </row>
    <row r="1704" spans="8:8" x14ac:dyDescent="0.25">
      <c r="H1704" s="10" t="str">
        <f t="shared" si="27"/>
        <v/>
      </c>
    </row>
    <row r="1705" spans="8:8" x14ac:dyDescent="0.25">
      <c r="H1705" s="10" t="str">
        <f t="shared" si="27"/>
        <v/>
      </c>
    </row>
    <row r="1706" spans="8:8" x14ac:dyDescent="0.25">
      <c r="H1706" s="10" t="str">
        <f t="shared" si="27"/>
        <v/>
      </c>
    </row>
    <row r="1707" spans="8:8" x14ac:dyDescent="0.25">
      <c r="H1707" s="10" t="str">
        <f t="shared" si="27"/>
        <v/>
      </c>
    </row>
    <row r="1708" spans="8:8" x14ac:dyDescent="0.25">
      <c r="H1708" s="10" t="str">
        <f t="shared" si="27"/>
        <v/>
      </c>
    </row>
    <row r="1709" spans="8:8" x14ac:dyDescent="0.25">
      <c r="H1709" s="10" t="str">
        <f t="shared" si="27"/>
        <v/>
      </c>
    </row>
    <row r="1710" spans="8:8" x14ac:dyDescent="0.25">
      <c r="H1710" s="10" t="str">
        <f t="shared" si="27"/>
        <v/>
      </c>
    </row>
    <row r="1711" spans="8:8" x14ac:dyDescent="0.25">
      <c r="H1711" s="10" t="str">
        <f t="shared" si="27"/>
        <v/>
      </c>
    </row>
    <row r="1712" spans="8:8" x14ac:dyDescent="0.25">
      <c r="H1712" s="10" t="str">
        <f t="shared" si="27"/>
        <v/>
      </c>
    </row>
    <row r="1713" spans="8:8" x14ac:dyDescent="0.25">
      <c r="H1713" s="10" t="str">
        <f t="shared" si="27"/>
        <v/>
      </c>
    </row>
    <row r="1714" spans="8:8" x14ac:dyDescent="0.25">
      <c r="H1714" s="10" t="str">
        <f t="shared" si="27"/>
        <v/>
      </c>
    </row>
    <row r="1715" spans="8:8" x14ac:dyDescent="0.25">
      <c r="H1715" s="10" t="str">
        <f t="shared" si="27"/>
        <v/>
      </c>
    </row>
    <row r="1716" spans="8:8" x14ac:dyDescent="0.25">
      <c r="H1716" s="10" t="str">
        <f t="shared" si="27"/>
        <v/>
      </c>
    </row>
    <row r="1717" spans="8:8" x14ac:dyDescent="0.25">
      <c r="H1717" s="10" t="str">
        <f t="shared" si="27"/>
        <v/>
      </c>
    </row>
    <row r="1718" spans="8:8" x14ac:dyDescent="0.25">
      <c r="H1718" s="10" t="str">
        <f t="shared" si="27"/>
        <v/>
      </c>
    </row>
    <row r="1719" spans="8:8" x14ac:dyDescent="0.25">
      <c r="H1719" s="10" t="str">
        <f t="shared" si="27"/>
        <v/>
      </c>
    </row>
    <row r="1720" spans="8:8" x14ac:dyDescent="0.25">
      <c r="H1720" s="10" t="str">
        <f t="shared" si="27"/>
        <v/>
      </c>
    </row>
    <row r="1721" spans="8:8" x14ac:dyDescent="0.25">
      <c r="H1721" s="10" t="str">
        <f t="shared" si="27"/>
        <v/>
      </c>
    </row>
    <row r="1722" spans="8:8" x14ac:dyDescent="0.25">
      <c r="H1722" s="10" t="str">
        <f t="shared" si="27"/>
        <v/>
      </c>
    </row>
    <row r="1723" spans="8:8" x14ac:dyDescent="0.25">
      <c r="H1723" s="10" t="str">
        <f t="shared" si="27"/>
        <v/>
      </c>
    </row>
    <row r="1724" spans="8:8" x14ac:dyDescent="0.25">
      <c r="H1724" s="10" t="str">
        <f t="shared" si="27"/>
        <v/>
      </c>
    </row>
    <row r="1725" spans="8:8" x14ac:dyDescent="0.25">
      <c r="H1725" s="10" t="str">
        <f t="shared" si="27"/>
        <v/>
      </c>
    </row>
    <row r="1726" spans="8:8" x14ac:dyDescent="0.25">
      <c r="H1726" s="10" t="str">
        <f t="shared" si="27"/>
        <v/>
      </c>
    </row>
    <row r="1727" spans="8:8" x14ac:dyDescent="0.25">
      <c r="H1727" s="10" t="str">
        <f t="shared" si="27"/>
        <v/>
      </c>
    </row>
    <row r="1728" spans="8:8" x14ac:dyDescent="0.25">
      <c r="H1728" s="10" t="str">
        <f t="shared" si="27"/>
        <v/>
      </c>
    </row>
    <row r="1729" spans="8:8" x14ac:dyDescent="0.25">
      <c r="H1729" s="10" t="str">
        <f t="shared" si="27"/>
        <v/>
      </c>
    </row>
    <row r="1730" spans="8:8" x14ac:dyDescent="0.25">
      <c r="H1730" s="10" t="str">
        <f t="shared" si="27"/>
        <v/>
      </c>
    </row>
    <row r="1731" spans="8:8" x14ac:dyDescent="0.25">
      <c r="H1731" s="10" t="str">
        <f t="shared" si="27"/>
        <v/>
      </c>
    </row>
    <row r="1732" spans="8:8" x14ac:dyDescent="0.25">
      <c r="H1732" s="10" t="str">
        <f t="shared" ref="H1732:H1795" si="28">IFERROR(DATEVALUE(C1732),"")</f>
        <v/>
      </c>
    </row>
    <row r="1733" spans="8:8" x14ac:dyDescent="0.25">
      <c r="H1733" s="10" t="str">
        <f t="shared" si="28"/>
        <v/>
      </c>
    </row>
    <row r="1734" spans="8:8" x14ac:dyDescent="0.25">
      <c r="H1734" s="10" t="str">
        <f t="shared" si="28"/>
        <v/>
      </c>
    </row>
    <row r="1735" spans="8:8" x14ac:dyDescent="0.25">
      <c r="H1735" s="10" t="str">
        <f t="shared" si="28"/>
        <v/>
      </c>
    </row>
    <row r="1736" spans="8:8" x14ac:dyDescent="0.25">
      <c r="H1736" s="10" t="str">
        <f t="shared" si="28"/>
        <v/>
      </c>
    </row>
    <row r="1737" spans="8:8" x14ac:dyDescent="0.25">
      <c r="H1737" s="10" t="str">
        <f t="shared" si="28"/>
        <v/>
      </c>
    </row>
    <row r="1738" spans="8:8" x14ac:dyDescent="0.25">
      <c r="H1738" s="10" t="str">
        <f t="shared" si="28"/>
        <v/>
      </c>
    </row>
    <row r="1739" spans="8:8" x14ac:dyDescent="0.25">
      <c r="H1739" s="10" t="str">
        <f t="shared" si="28"/>
        <v/>
      </c>
    </row>
    <row r="1740" spans="8:8" x14ac:dyDescent="0.25">
      <c r="H1740" s="10" t="str">
        <f t="shared" si="28"/>
        <v/>
      </c>
    </row>
    <row r="1741" spans="8:8" x14ac:dyDescent="0.25">
      <c r="H1741" s="10" t="str">
        <f t="shared" si="28"/>
        <v/>
      </c>
    </row>
    <row r="1742" spans="8:8" x14ac:dyDescent="0.25">
      <c r="H1742" s="10" t="str">
        <f t="shared" si="28"/>
        <v/>
      </c>
    </row>
    <row r="1743" spans="8:8" x14ac:dyDescent="0.25">
      <c r="H1743" s="10" t="str">
        <f t="shared" si="28"/>
        <v/>
      </c>
    </row>
    <row r="1744" spans="8:8" x14ac:dyDescent="0.25">
      <c r="H1744" s="10" t="str">
        <f t="shared" si="28"/>
        <v/>
      </c>
    </row>
    <row r="1745" spans="8:8" x14ac:dyDescent="0.25">
      <c r="H1745" s="10" t="str">
        <f t="shared" si="28"/>
        <v/>
      </c>
    </row>
    <row r="1746" spans="8:8" x14ac:dyDescent="0.25">
      <c r="H1746" s="10" t="str">
        <f t="shared" si="28"/>
        <v/>
      </c>
    </row>
    <row r="1747" spans="8:8" x14ac:dyDescent="0.25">
      <c r="H1747" s="10" t="str">
        <f t="shared" si="28"/>
        <v/>
      </c>
    </row>
    <row r="1748" spans="8:8" x14ac:dyDescent="0.25">
      <c r="H1748" s="10" t="str">
        <f t="shared" si="28"/>
        <v/>
      </c>
    </row>
    <row r="1749" spans="8:8" x14ac:dyDescent="0.25">
      <c r="H1749" s="10" t="str">
        <f t="shared" si="28"/>
        <v/>
      </c>
    </row>
    <row r="1750" spans="8:8" x14ac:dyDescent="0.25">
      <c r="H1750" s="10" t="str">
        <f t="shared" si="28"/>
        <v/>
      </c>
    </row>
    <row r="1751" spans="8:8" x14ac:dyDescent="0.25">
      <c r="H1751" s="10" t="str">
        <f t="shared" si="28"/>
        <v/>
      </c>
    </row>
    <row r="1752" spans="8:8" x14ac:dyDescent="0.25">
      <c r="H1752" s="10" t="str">
        <f t="shared" si="28"/>
        <v/>
      </c>
    </row>
    <row r="1753" spans="8:8" x14ac:dyDescent="0.25">
      <c r="H1753" s="10" t="str">
        <f t="shared" si="28"/>
        <v/>
      </c>
    </row>
    <row r="1754" spans="8:8" x14ac:dyDescent="0.25">
      <c r="H1754" s="10" t="str">
        <f t="shared" si="28"/>
        <v/>
      </c>
    </row>
    <row r="1755" spans="8:8" x14ac:dyDescent="0.25">
      <c r="H1755" s="10" t="str">
        <f t="shared" si="28"/>
        <v/>
      </c>
    </row>
    <row r="1756" spans="8:8" x14ac:dyDescent="0.25">
      <c r="H1756" s="10" t="str">
        <f t="shared" si="28"/>
        <v/>
      </c>
    </row>
    <row r="1757" spans="8:8" x14ac:dyDescent="0.25">
      <c r="H1757" s="10" t="str">
        <f t="shared" si="28"/>
        <v/>
      </c>
    </row>
    <row r="1758" spans="8:8" x14ac:dyDescent="0.25">
      <c r="H1758" s="10" t="str">
        <f t="shared" si="28"/>
        <v/>
      </c>
    </row>
    <row r="1759" spans="8:8" x14ac:dyDescent="0.25">
      <c r="H1759" s="10" t="str">
        <f t="shared" si="28"/>
        <v/>
      </c>
    </row>
    <row r="1760" spans="8:8" x14ac:dyDescent="0.25">
      <c r="H1760" s="10" t="str">
        <f t="shared" si="28"/>
        <v/>
      </c>
    </row>
    <row r="1761" spans="8:8" x14ac:dyDescent="0.25">
      <c r="H1761" s="10" t="str">
        <f t="shared" si="28"/>
        <v/>
      </c>
    </row>
    <row r="1762" spans="8:8" x14ac:dyDescent="0.25">
      <c r="H1762" s="10" t="str">
        <f t="shared" si="28"/>
        <v/>
      </c>
    </row>
    <row r="1763" spans="8:8" x14ac:dyDescent="0.25">
      <c r="H1763" s="10" t="str">
        <f t="shared" si="28"/>
        <v/>
      </c>
    </row>
    <row r="1764" spans="8:8" x14ac:dyDescent="0.25">
      <c r="H1764" s="10" t="str">
        <f t="shared" si="28"/>
        <v/>
      </c>
    </row>
    <row r="1765" spans="8:8" x14ac:dyDescent="0.25">
      <c r="H1765" s="10" t="str">
        <f t="shared" si="28"/>
        <v/>
      </c>
    </row>
    <row r="1766" spans="8:8" x14ac:dyDescent="0.25">
      <c r="H1766" s="10" t="str">
        <f t="shared" si="28"/>
        <v/>
      </c>
    </row>
    <row r="1767" spans="8:8" x14ac:dyDescent="0.25">
      <c r="H1767" s="10" t="str">
        <f t="shared" si="28"/>
        <v/>
      </c>
    </row>
    <row r="1768" spans="8:8" x14ac:dyDescent="0.25">
      <c r="H1768" s="10" t="str">
        <f t="shared" si="28"/>
        <v/>
      </c>
    </row>
    <row r="1769" spans="8:8" x14ac:dyDescent="0.25">
      <c r="H1769" s="10" t="str">
        <f t="shared" si="28"/>
        <v/>
      </c>
    </row>
    <row r="1770" spans="8:8" x14ac:dyDescent="0.25">
      <c r="H1770" s="10" t="str">
        <f t="shared" si="28"/>
        <v/>
      </c>
    </row>
    <row r="1771" spans="8:8" x14ac:dyDescent="0.25">
      <c r="H1771" s="10" t="str">
        <f t="shared" si="28"/>
        <v/>
      </c>
    </row>
    <row r="1772" spans="8:8" x14ac:dyDescent="0.25">
      <c r="H1772" s="10" t="str">
        <f t="shared" si="28"/>
        <v/>
      </c>
    </row>
    <row r="1773" spans="8:8" x14ac:dyDescent="0.25">
      <c r="H1773" s="10" t="str">
        <f t="shared" si="28"/>
        <v/>
      </c>
    </row>
    <row r="1774" spans="8:8" x14ac:dyDescent="0.25">
      <c r="H1774" s="10" t="str">
        <f t="shared" si="28"/>
        <v/>
      </c>
    </row>
    <row r="1775" spans="8:8" x14ac:dyDescent="0.25">
      <c r="H1775" s="10" t="str">
        <f t="shared" si="28"/>
        <v/>
      </c>
    </row>
    <row r="1776" spans="8:8" x14ac:dyDescent="0.25">
      <c r="H1776" s="10" t="str">
        <f t="shared" si="28"/>
        <v/>
      </c>
    </row>
    <row r="1777" spans="8:8" x14ac:dyDescent="0.25">
      <c r="H1777" s="10" t="str">
        <f t="shared" si="28"/>
        <v/>
      </c>
    </row>
    <row r="1778" spans="8:8" x14ac:dyDescent="0.25">
      <c r="H1778" s="10" t="str">
        <f t="shared" si="28"/>
        <v/>
      </c>
    </row>
    <row r="1779" spans="8:8" x14ac:dyDescent="0.25">
      <c r="H1779" s="10" t="str">
        <f t="shared" si="28"/>
        <v/>
      </c>
    </row>
    <row r="1780" spans="8:8" x14ac:dyDescent="0.25">
      <c r="H1780" s="10" t="str">
        <f t="shared" si="28"/>
        <v/>
      </c>
    </row>
    <row r="1781" spans="8:8" x14ac:dyDescent="0.25">
      <c r="H1781" s="10" t="str">
        <f t="shared" si="28"/>
        <v/>
      </c>
    </row>
    <row r="1782" spans="8:8" x14ac:dyDescent="0.25">
      <c r="H1782" s="10" t="str">
        <f t="shared" si="28"/>
        <v/>
      </c>
    </row>
    <row r="1783" spans="8:8" x14ac:dyDescent="0.25">
      <c r="H1783" s="10" t="str">
        <f t="shared" si="28"/>
        <v/>
      </c>
    </row>
    <row r="1784" spans="8:8" x14ac:dyDescent="0.25">
      <c r="H1784" s="10" t="str">
        <f t="shared" si="28"/>
        <v/>
      </c>
    </row>
    <row r="1785" spans="8:8" x14ac:dyDescent="0.25">
      <c r="H1785" s="10" t="str">
        <f t="shared" si="28"/>
        <v/>
      </c>
    </row>
    <row r="1786" spans="8:8" x14ac:dyDescent="0.25">
      <c r="H1786" s="10" t="str">
        <f t="shared" si="28"/>
        <v/>
      </c>
    </row>
    <row r="1787" spans="8:8" x14ac:dyDescent="0.25">
      <c r="H1787" s="10" t="str">
        <f t="shared" si="28"/>
        <v/>
      </c>
    </row>
    <row r="1788" spans="8:8" x14ac:dyDescent="0.25">
      <c r="H1788" s="10" t="str">
        <f t="shared" si="28"/>
        <v/>
      </c>
    </row>
    <row r="1789" spans="8:8" x14ac:dyDescent="0.25">
      <c r="H1789" s="10" t="str">
        <f t="shared" si="28"/>
        <v/>
      </c>
    </row>
    <row r="1790" spans="8:8" x14ac:dyDescent="0.25">
      <c r="H1790" s="10" t="str">
        <f t="shared" si="28"/>
        <v/>
      </c>
    </row>
    <row r="1791" spans="8:8" x14ac:dyDescent="0.25">
      <c r="H1791" s="10" t="str">
        <f t="shared" si="28"/>
        <v/>
      </c>
    </row>
    <row r="1792" spans="8:8" x14ac:dyDescent="0.25">
      <c r="H1792" s="10" t="str">
        <f t="shared" si="28"/>
        <v/>
      </c>
    </row>
    <row r="1793" spans="8:8" x14ac:dyDescent="0.25">
      <c r="H1793" s="10" t="str">
        <f t="shared" si="28"/>
        <v/>
      </c>
    </row>
    <row r="1794" spans="8:8" x14ac:dyDescent="0.25">
      <c r="H1794" s="10" t="str">
        <f t="shared" si="28"/>
        <v/>
      </c>
    </row>
    <row r="1795" spans="8:8" x14ac:dyDescent="0.25">
      <c r="H1795" s="10" t="str">
        <f t="shared" si="28"/>
        <v/>
      </c>
    </row>
    <row r="1796" spans="8:8" x14ac:dyDescent="0.25">
      <c r="H1796" s="10" t="str">
        <f t="shared" ref="H1796:H1859" si="29">IFERROR(DATEVALUE(C1796),"")</f>
        <v/>
      </c>
    </row>
    <row r="1797" spans="8:8" x14ac:dyDescent="0.25">
      <c r="H1797" s="10" t="str">
        <f t="shared" si="29"/>
        <v/>
      </c>
    </row>
    <row r="1798" spans="8:8" x14ac:dyDescent="0.25">
      <c r="H1798" s="10" t="str">
        <f t="shared" si="29"/>
        <v/>
      </c>
    </row>
    <row r="1799" spans="8:8" x14ac:dyDescent="0.25">
      <c r="H1799" s="10" t="str">
        <f t="shared" si="29"/>
        <v/>
      </c>
    </row>
    <row r="1800" spans="8:8" x14ac:dyDescent="0.25">
      <c r="H1800" s="10" t="str">
        <f t="shared" si="29"/>
        <v/>
      </c>
    </row>
    <row r="1801" spans="8:8" x14ac:dyDescent="0.25">
      <c r="H1801" s="10" t="str">
        <f t="shared" si="29"/>
        <v/>
      </c>
    </row>
    <row r="1802" spans="8:8" x14ac:dyDescent="0.25">
      <c r="H1802" s="10" t="str">
        <f t="shared" si="29"/>
        <v/>
      </c>
    </row>
    <row r="1803" spans="8:8" x14ac:dyDescent="0.25">
      <c r="H1803" s="10" t="str">
        <f t="shared" si="29"/>
        <v/>
      </c>
    </row>
    <row r="1804" spans="8:8" x14ac:dyDescent="0.25">
      <c r="H1804" s="10" t="str">
        <f t="shared" si="29"/>
        <v/>
      </c>
    </row>
    <row r="1805" spans="8:8" x14ac:dyDescent="0.25">
      <c r="H1805" s="10" t="str">
        <f t="shared" si="29"/>
        <v/>
      </c>
    </row>
    <row r="1806" spans="8:8" x14ac:dyDescent="0.25">
      <c r="H1806" s="10" t="str">
        <f t="shared" si="29"/>
        <v/>
      </c>
    </row>
    <row r="1807" spans="8:8" x14ac:dyDescent="0.25">
      <c r="H1807" s="10" t="str">
        <f t="shared" si="29"/>
        <v/>
      </c>
    </row>
    <row r="1808" spans="8:8" x14ac:dyDescent="0.25">
      <c r="H1808" s="10" t="str">
        <f t="shared" si="29"/>
        <v/>
      </c>
    </row>
    <row r="1809" spans="8:8" x14ac:dyDescent="0.25">
      <c r="H1809" s="10" t="str">
        <f t="shared" si="29"/>
        <v/>
      </c>
    </row>
    <row r="1810" spans="8:8" x14ac:dyDescent="0.25">
      <c r="H1810" s="10" t="str">
        <f t="shared" si="29"/>
        <v/>
      </c>
    </row>
    <row r="1811" spans="8:8" x14ac:dyDescent="0.25">
      <c r="H1811" s="10" t="str">
        <f t="shared" si="29"/>
        <v/>
      </c>
    </row>
    <row r="1812" spans="8:8" x14ac:dyDescent="0.25">
      <c r="H1812" s="10" t="str">
        <f t="shared" si="29"/>
        <v/>
      </c>
    </row>
    <row r="1813" spans="8:8" x14ac:dyDescent="0.25">
      <c r="H1813" s="10" t="str">
        <f t="shared" si="29"/>
        <v/>
      </c>
    </row>
    <row r="1814" spans="8:8" x14ac:dyDescent="0.25">
      <c r="H1814" s="10" t="str">
        <f t="shared" si="29"/>
        <v/>
      </c>
    </row>
    <row r="1815" spans="8:8" x14ac:dyDescent="0.25">
      <c r="H1815" s="10" t="str">
        <f t="shared" si="29"/>
        <v/>
      </c>
    </row>
    <row r="1816" spans="8:8" x14ac:dyDescent="0.25">
      <c r="H1816" s="10" t="str">
        <f t="shared" si="29"/>
        <v/>
      </c>
    </row>
    <row r="1817" spans="8:8" x14ac:dyDescent="0.25">
      <c r="H1817" s="10" t="str">
        <f t="shared" si="29"/>
        <v/>
      </c>
    </row>
    <row r="1818" spans="8:8" x14ac:dyDescent="0.25">
      <c r="H1818" s="10" t="str">
        <f t="shared" si="29"/>
        <v/>
      </c>
    </row>
    <row r="1819" spans="8:8" x14ac:dyDescent="0.25">
      <c r="H1819" s="10" t="str">
        <f t="shared" si="29"/>
        <v/>
      </c>
    </row>
    <row r="1820" spans="8:8" x14ac:dyDescent="0.25">
      <c r="H1820" s="10" t="str">
        <f t="shared" si="29"/>
        <v/>
      </c>
    </row>
    <row r="1821" spans="8:8" x14ac:dyDescent="0.25">
      <c r="H1821" s="10" t="str">
        <f t="shared" si="29"/>
        <v/>
      </c>
    </row>
    <row r="1822" spans="8:8" x14ac:dyDescent="0.25">
      <c r="H1822" s="10" t="str">
        <f t="shared" si="29"/>
        <v/>
      </c>
    </row>
    <row r="1823" spans="8:8" x14ac:dyDescent="0.25">
      <c r="H1823" s="10" t="str">
        <f t="shared" si="29"/>
        <v/>
      </c>
    </row>
    <row r="1824" spans="8:8" x14ac:dyDescent="0.25">
      <c r="H1824" s="10" t="str">
        <f t="shared" si="29"/>
        <v/>
      </c>
    </row>
    <row r="1825" spans="8:8" x14ac:dyDescent="0.25">
      <c r="H1825" s="10" t="str">
        <f t="shared" si="29"/>
        <v/>
      </c>
    </row>
    <row r="1826" spans="8:8" x14ac:dyDescent="0.25">
      <c r="H1826" s="10" t="str">
        <f t="shared" si="29"/>
        <v/>
      </c>
    </row>
    <row r="1827" spans="8:8" x14ac:dyDescent="0.25">
      <c r="H1827" s="10" t="str">
        <f t="shared" si="29"/>
        <v/>
      </c>
    </row>
    <row r="1828" spans="8:8" x14ac:dyDescent="0.25">
      <c r="H1828" s="10" t="str">
        <f t="shared" si="29"/>
        <v/>
      </c>
    </row>
    <row r="1829" spans="8:8" x14ac:dyDescent="0.25">
      <c r="H1829" s="10" t="str">
        <f t="shared" si="29"/>
        <v/>
      </c>
    </row>
    <row r="1830" spans="8:8" x14ac:dyDescent="0.25">
      <c r="H1830" s="10" t="str">
        <f t="shared" si="29"/>
        <v/>
      </c>
    </row>
    <row r="1831" spans="8:8" x14ac:dyDescent="0.25">
      <c r="H1831" s="10" t="str">
        <f t="shared" si="29"/>
        <v/>
      </c>
    </row>
    <row r="1832" spans="8:8" x14ac:dyDescent="0.25">
      <c r="H1832" s="10" t="str">
        <f t="shared" si="29"/>
        <v/>
      </c>
    </row>
    <row r="1833" spans="8:8" x14ac:dyDescent="0.25">
      <c r="H1833" s="10" t="str">
        <f t="shared" si="29"/>
        <v/>
      </c>
    </row>
    <row r="1834" spans="8:8" x14ac:dyDescent="0.25">
      <c r="H1834" s="10" t="str">
        <f t="shared" si="29"/>
        <v/>
      </c>
    </row>
    <row r="1835" spans="8:8" x14ac:dyDescent="0.25">
      <c r="H1835" s="10" t="str">
        <f t="shared" si="29"/>
        <v/>
      </c>
    </row>
    <row r="1836" spans="8:8" x14ac:dyDescent="0.25">
      <c r="H1836" s="10" t="str">
        <f t="shared" si="29"/>
        <v/>
      </c>
    </row>
    <row r="1837" spans="8:8" x14ac:dyDescent="0.25">
      <c r="H1837" s="10" t="str">
        <f t="shared" si="29"/>
        <v/>
      </c>
    </row>
    <row r="1838" spans="8:8" x14ac:dyDescent="0.25">
      <c r="H1838" s="10" t="str">
        <f t="shared" si="29"/>
        <v/>
      </c>
    </row>
    <row r="1839" spans="8:8" x14ac:dyDescent="0.25">
      <c r="H1839" s="10" t="str">
        <f t="shared" si="29"/>
        <v/>
      </c>
    </row>
    <row r="1840" spans="8:8" x14ac:dyDescent="0.25">
      <c r="H1840" s="10" t="str">
        <f t="shared" si="29"/>
        <v/>
      </c>
    </row>
    <row r="1841" spans="8:8" x14ac:dyDescent="0.25">
      <c r="H1841" s="10" t="str">
        <f t="shared" si="29"/>
        <v/>
      </c>
    </row>
    <row r="1842" spans="8:8" x14ac:dyDescent="0.25">
      <c r="H1842" s="10" t="str">
        <f t="shared" si="29"/>
        <v/>
      </c>
    </row>
    <row r="1843" spans="8:8" x14ac:dyDescent="0.25">
      <c r="H1843" s="10" t="str">
        <f t="shared" si="29"/>
        <v/>
      </c>
    </row>
    <row r="1844" spans="8:8" x14ac:dyDescent="0.25">
      <c r="H1844" s="10" t="str">
        <f t="shared" si="29"/>
        <v/>
      </c>
    </row>
    <row r="1845" spans="8:8" x14ac:dyDescent="0.25">
      <c r="H1845" s="10" t="str">
        <f t="shared" si="29"/>
        <v/>
      </c>
    </row>
    <row r="1846" spans="8:8" x14ac:dyDescent="0.25">
      <c r="H1846" s="10" t="str">
        <f t="shared" si="29"/>
        <v/>
      </c>
    </row>
    <row r="1847" spans="8:8" x14ac:dyDescent="0.25">
      <c r="H1847" s="10" t="str">
        <f t="shared" si="29"/>
        <v/>
      </c>
    </row>
    <row r="1848" spans="8:8" x14ac:dyDescent="0.25">
      <c r="H1848" s="10" t="str">
        <f t="shared" si="29"/>
        <v/>
      </c>
    </row>
    <row r="1849" spans="8:8" x14ac:dyDescent="0.25">
      <c r="H1849" s="10" t="str">
        <f t="shared" si="29"/>
        <v/>
      </c>
    </row>
    <row r="1850" spans="8:8" x14ac:dyDescent="0.25">
      <c r="H1850" s="10" t="str">
        <f t="shared" si="29"/>
        <v/>
      </c>
    </row>
    <row r="1851" spans="8:8" x14ac:dyDescent="0.25">
      <c r="H1851" s="10" t="str">
        <f t="shared" si="29"/>
        <v/>
      </c>
    </row>
    <row r="1852" spans="8:8" x14ac:dyDescent="0.25">
      <c r="H1852" s="10" t="str">
        <f t="shared" si="29"/>
        <v/>
      </c>
    </row>
    <row r="1853" spans="8:8" x14ac:dyDescent="0.25">
      <c r="H1853" s="10" t="str">
        <f t="shared" si="29"/>
        <v/>
      </c>
    </row>
    <row r="1854" spans="8:8" x14ac:dyDescent="0.25">
      <c r="H1854" s="10" t="str">
        <f t="shared" si="29"/>
        <v/>
      </c>
    </row>
    <row r="1855" spans="8:8" x14ac:dyDescent="0.25">
      <c r="H1855" s="10" t="str">
        <f t="shared" si="29"/>
        <v/>
      </c>
    </row>
    <row r="1856" spans="8:8" x14ac:dyDescent="0.25">
      <c r="H1856" s="10" t="str">
        <f t="shared" si="29"/>
        <v/>
      </c>
    </row>
    <row r="1857" spans="8:8" x14ac:dyDescent="0.25">
      <c r="H1857" s="10" t="str">
        <f t="shared" si="29"/>
        <v/>
      </c>
    </row>
    <row r="1858" spans="8:8" x14ac:dyDescent="0.25">
      <c r="H1858" s="10" t="str">
        <f t="shared" si="29"/>
        <v/>
      </c>
    </row>
    <row r="1859" spans="8:8" x14ac:dyDescent="0.25">
      <c r="H1859" s="10" t="str">
        <f t="shared" si="29"/>
        <v/>
      </c>
    </row>
    <row r="1860" spans="8:8" x14ac:dyDescent="0.25">
      <c r="H1860" s="10" t="str">
        <f t="shared" ref="H1860:H1923" si="30">IFERROR(DATEVALUE(C1860),"")</f>
        <v/>
      </c>
    </row>
    <row r="1861" spans="8:8" x14ac:dyDescent="0.25">
      <c r="H1861" s="10" t="str">
        <f t="shared" si="30"/>
        <v/>
      </c>
    </row>
    <row r="1862" spans="8:8" x14ac:dyDescent="0.25">
      <c r="H1862" s="10" t="str">
        <f t="shared" si="30"/>
        <v/>
      </c>
    </row>
    <row r="1863" spans="8:8" x14ac:dyDescent="0.25">
      <c r="H1863" s="10" t="str">
        <f t="shared" si="30"/>
        <v/>
      </c>
    </row>
    <row r="1864" spans="8:8" x14ac:dyDescent="0.25">
      <c r="H1864" s="10" t="str">
        <f t="shared" si="30"/>
        <v/>
      </c>
    </row>
    <row r="1865" spans="8:8" x14ac:dyDescent="0.25">
      <c r="H1865" s="10" t="str">
        <f t="shared" si="30"/>
        <v/>
      </c>
    </row>
    <row r="1866" spans="8:8" x14ac:dyDescent="0.25">
      <c r="H1866" s="10" t="str">
        <f t="shared" si="30"/>
        <v/>
      </c>
    </row>
    <row r="1867" spans="8:8" x14ac:dyDescent="0.25">
      <c r="H1867" s="10" t="str">
        <f t="shared" si="30"/>
        <v/>
      </c>
    </row>
    <row r="1868" spans="8:8" x14ac:dyDescent="0.25">
      <c r="H1868" s="10" t="str">
        <f t="shared" si="30"/>
        <v/>
      </c>
    </row>
    <row r="1869" spans="8:8" x14ac:dyDescent="0.25">
      <c r="H1869" s="10" t="str">
        <f t="shared" si="30"/>
        <v/>
      </c>
    </row>
    <row r="1870" spans="8:8" x14ac:dyDescent="0.25">
      <c r="H1870" s="10" t="str">
        <f t="shared" si="30"/>
        <v/>
      </c>
    </row>
    <row r="1871" spans="8:8" x14ac:dyDescent="0.25">
      <c r="H1871" s="10" t="str">
        <f t="shared" si="30"/>
        <v/>
      </c>
    </row>
    <row r="1872" spans="8:8" x14ac:dyDescent="0.25">
      <c r="H1872" s="10" t="str">
        <f t="shared" si="30"/>
        <v/>
      </c>
    </row>
    <row r="1873" spans="8:8" x14ac:dyDescent="0.25">
      <c r="H1873" s="10" t="str">
        <f t="shared" si="30"/>
        <v/>
      </c>
    </row>
    <row r="1874" spans="8:8" x14ac:dyDescent="0.25">
      <c r="H1874" s="10" t="str">
        <f t="shared" si="30"/>
        <v/>
      </c>
    </row>
    <row r="1875" spans="8:8" x14ac:dyDescent="0.25">
      <c r="H1875" s="10" t="str">
        <f t="shared" si="30"/>
        <v/>
      </c>
    </row>
    <row r="1876" spans="8:8" x14ac:dyDescent="0.25">
      <c r="H1876" s="10" t="str">
        <f t="shared" si="30"/>
        <v/>
      </c>
    </row>
    <row r="1877" spans="8:8" x14ac:dyDescent="0.25">
      <c r="H1877" s="10" t="str">
        <f t="shared" si="30"/>
        <v/>
      </c>
    </row>
    <row r="1878" spans="8:8" x14ac:dyDescent="0.25">
      <c r="H1878" s="10" t="str">
        <f t="shared" si="30"/>
        <v/>
      </c>
    </row>
    <row r="1879" spans="8:8" x14ac:dyDescent="0.25">
      <c r="H1879" s="10" t="str">
        <f t="shared" si="30"/>
        <v/>
      </c>
    </row>
    <row r="1880" spans="8:8" x14ac:dyDescent="0.25">
      <c r="H1880" s="10" t="str">
        <f t="shared" si="30"/>
        <v/>
      </c>
    </row>
    <row r="1881" spans="8:8" x14ac:dyDescent="0.25">
      <c r="H1881" s="10" t="str">
        <f t="shared" si="30"/>
        <v/>
      </c>
    </row>
    <row r="1882" spans="8:8" x14ac:dyDescent="0.25">
      <c r="H1882" s="10" t="str">
        <f t="shared" si="30"/>
        <v/>
      </c>
    </row>
    <row r="1883" spans="8:8" x14ac:dyDescent="0.25">
      <c r="H1883" s="10" t="str">
        <f t="shared" si="30"/>
        <v/>
      </c>
    </row>
    <row r="1884" spans="8:8" x14ac:dyDescent="0.25">
      <c r="H1884" s="10" t="str">
        <f t="shared" si="30"/>
        <v/>
      </c>
    </row>
    <row r="1885" spans="8:8" x14ac:dyDescent="0.25">
      <c r="H1885" s="10" t="str">
        <f t="shared" si="30"/>
        <v/>
      </c>
    </row>
    <row r="1886" spans="8:8" x14ac:dyDescent="0.25">
      <c r="H1886" s="10" t="str">
        <f t="shared" si="30"/>
        <v/>
      </c>
    </row>
    <row r="1887" spans="8:8" x14ac:dyDescent="0.25">
      <c r="H1887" s="10" t="str">
        <f t="shared" si="30"/>
        <v/>
      </c>
    </row>
    <row r="1888" spans="8:8" x14ac:dyDescent="0.25">
      <c r="H1888" s="10" t="str">
        <f t="shared" si="30"/>
        <v/>
      </c>
    </row>
    <row r="1889" spans="8:8" x14ac:dyDescent="0.25">
      <c r="H1889" s="10" t="str">
        <f t="shared" si="30"/>
        <v/>
      </c>
    </row>
    <row r="1890" spans="8:8" x14ac:dyDescent="0.25">
      <c r="H1890" s="10" t="str">
        <f t="shared" si="30"/>
        <v/>
      </c>
    </row>
    <row r="1891" spans="8:8" x14ac:dyDescent="0.25">
      <c r="H1891" s="10" t="str">
        <f t="shared" si="30"/>
        <v/>
      </c>
    </row>
    <row r="1892" spans="8:8" x14ac:dyDescent="0.25">
      <c r="H1892" s="10" t="str">
        <f t="shared" si="30"/>
        <v/>
      </c>
    </row>
    <row r="1893" spans="8:8" x14ac:dyDescent="0.25">
      <c r="H1893" s="10" t="str">
        <f t="shared" si="30"/>
        <v/>
      </c>
    </row>
    <row r="1894" spans="8:8" x14ac:dyDescent="0.25">
      <c r="H1894" s="10" t="str">
        <f t="shared" si="30"/>
        <v/>
      </c>
    </row>
    <row r="1895" spans="8:8" x14ac:dyDescent="0.25">
      <c r="H1895" s="10" t="str">
        <f t="shared" si="30"/>
        <v/>
      </c>
    </row>
    <row r="1896" spans="8:8" x14ac:dyDescent="0.25">
      <c r="H1896" s="10" t="str">
        <f t="shared" si="30"/>
        <v/>
      </c>
    </row>
    <row r="1897" spans="8:8" x14ac:dyDescent="0.25">
      <c r="H1897" s="10" t="str">
        <f t="shared" si="30"/>
        <v/>
      </c>
    </row>
    <row r="1898" spans="8:8" x14ac:dyDescent="0.25">
      <c r="H1898" s="10" t="str">
        <f t="shared" si="30"/>
        <v/>
      </c>
    </row>
    <row r="1899" spans="8:8" x14ac:dyDescent="0.25">
      <c r="H1899" s="10" t="str">
        <f t="shared" si="30"/>
        <v/>
      </c>
    </row>
    <row r="1900" spans="8:8" x14ac:dyDescent="0.25">
      <c r="H1900" s="10" t="str">
        <f t="shared" si="30"/>
        <v/>
      </c>
    </row>
    <row r="1901" spans="8:8" x14ac:dyDescent="0.25">
      <c r="H1901" s="10" t="str">
        <f t="shared" si="30"/>
        <v/>
      </c>
    </row>
    <row r="1902" spans="8:8" x14ac:dyDescent="0.25">
      <c r="H1902" s="10" t="str">
        <f t="shared" si="30"/>
        <v/>
      </c>
    </row>
    <row r="1903" spans="8:8" x14ac:dyDescent="0.25">
      <c r="H1903" s="10" t="str">
        <f t="shared" si="30"/>
        <v/>
      </c>
    </row>
    <row r="1904" spans="8:8" x14ac:dyDescent="0.25">
      <c r="H1904" s="10" t="str">
        <f t="shared" si="30"/>
        <v/>
      </c>
    </row>
    <row r="1905" spans="8:8" x14ac:dyDescent="0.25">
      <c r="H1905" s="10" t="str">
        <f t="shared" si="30"/>
        <v/>
      </c>
    </row>
    <row r="1906" spans="8:8" x14ac:dyDescent="0.25">
      <c r="H1906" s="10" t="str">
        <f t="shared" si="30"/>
        <v/>
      </c>
    </row>
    <row r="1907" spans="8:8" x14ac:dyDescent="0.25">
      <c r="H1907" s="10" t="str">
        <f t="shared" si="30"/>
        <v/>
      </c>
    </row>
    <row r="1908" spans="8:8" x14ac:dyDescent="0.25">
      <c r="H1908" s="10" t="str">
        <f t="shared" si="30"/>
        <v/>
      </c>
    </row>
    <row r="1909" spans="8:8" x14ac:dyDescent="0.25">
      <c r="H1909" s="10" t="str">
        <f t="shared" si="30"/>
        <v/>
      </c>
    </row>
    <row r="1910" spans="8:8" x14ac:dyDescent="0.25">
      <c r="H1910" s="10" t="str">
        <f t="shared" si="30"/>
        <v/>
      </c>
    </row>
    <row r="1911" spans="8:8" x14ac:dyDescent="0.25">
      <c r="H1911" s="10" t="str">
        <f t="shared" si="30"/>
        <v/>
      </c>
    </row>
    <row r="1912" spans="8:8" x14ac:dyDescent="0.25">
      <c r="H1912" s="10" t="str">
        <f t="shared" si="30"/>
        <v/>
      </c>
    </row>
    <row r="1913" spans="8:8" x14ac:dyDescent="0.25">
      <c r="H1913" s="10" t="str">
        <f t="shared" si="30"/>
        <v/>
      </c>
    </row>
    <row r="1914" spans="8:8" x14ac:dyDescent="0.25">
      <c r="H1914" s="10" t="str">
        <f t="shared" si="30"/>
        <v/>
      </c>
    </row>
    <row r="1915" spans="8:8" x14ac:dyDescent="0.25">
      <c r="H1915" s="10" t="str">
        <f t="shared" si="30"/>
        <v/>
      </c>
    </row>
    <row r="1916" spans="8:8" x14ac:dyDescent="0.25">
      <c r="H1916" s="10" t="str">
        <f t="shared" si="30"/>
        <v/>
      </c>
    </row>
    <row r="1917" spans="8:8" x14ac:dyDescent="0.25">
      <c r="H1917" s="10" t="str">
        <f t="shared" si="30"/>
        <v/>
      </c>
    </row>
    <row r="1918" spans="8:8" x14ac:dyDescent="0.25">
      <c r="H1918" s="10" t="str">
        <f t="shared" si="30"/>
        <v/>
      </c>
    </row>
    <row r="1919" spans="8:8" x14ac:dyDescent="0.25">
      <c r="H1919" s="10" t="str">
        <f t="shared" si="30"/>
        <v/>
      </c>
    </row>
    <row r="1920" spans="8:8" x14ac:dyDescent="0.25">
      <c r="H1920" s="10" t="str">
        <f t="shared" si="30"/>
        <v/>
      </c>
    </row>
    <row r="1921" spans="8:8" x14ac:dyDescent="0.25">
      <c r="H1921" s="10" t="str">
        <f t="shared" si="30"/>
        <v/>
      </c>
    </row>
    <row r="1922" spans="8:8" x14ac:dyDescent="0.25">
      <c r="H1922" s="10" t="str">
        <f t="shared" si="30"/>
        <v/>
      </c>
    </row>
    <row r="1923" spans="8:8" x14ac:dyDescent="0.25">
      <c r="H1923" s="10" t="str">
        <f t="shared" si="30"/>
        <v/>
      </c>
    </row>
    <row r="1924" spans="8:8" x14ac:dyDescent="0.25">
      <c r="H1924" s="10" t="str">
        <f t="shared" ref="H1924:H1987" si="31">IFERROR(DATEVALUE(C1924),"")</f>
        <v/>
      </c>
    </row>
    <row r="1925" spans="8:8" x14ac:dyDescent="0.25">
      <c r="H1925" s="10" t="str">
        <f t="shared" si="31"/>
        <v/>
      </c>
    </row>
    <row r="1926" spans="8:8" x14ac:dyDescent="0.25">
      <c r="H1926" s="10" t="str">
        <f t="shared" si="31"/>
        <v/>
      </c>
    </row>
    <row r="1927" spans="8:8" x14ac:dyDescent="0.25">
      <c r="H1927" s="10" t="str">
        <f t="shared" si="31"/>
        <v/>
      </c>
    </row>
    <row r="1928" spans="8:8" x14ac:dyDescent="0.25">
      <c r="H1928" s="10" t="str">
        <f t="shared" si="31"/>
        <v/>
      </c>
    </row>
    <row r="1929" spans="8:8" x14ac:dyDescent="0.25">
      <c r="H1929" s="10" t="str">
        <f t="shared" si="31"/>
        <v/>
      </c>
    </row>
    <row r="1930" spans="8:8" x14ac:dyDescent="0.25">
      <c r="H1930" s="10" t="str">
        <f t="shared" si="31"/>
        <v/>
      </c>
    </row>
    <row r="1931" spans="8:8" x14ac:dyDescent="0.25">
      <c r="H1931" s="10" t="str">
        <f t="shared" si="31"/>
        <v/>
      </c>
    </row>
    <row r="1932" spans="8:8" x14ac:dyDescent="0.25">
      <c r="H1932" s="10" t="str">
        <f t="shared" si="31"/>
        <v/>
      </c>
    </row>
    <row r="1933" spans="8:8" x14ac:dyDescent="0.25">
      <c r="H1933" s="10" t="str">
        <f t="shared" si="31"/>
        <v/>
      </c>
    </row>
    <row r="1934" spans="8:8" x14ac:dyDescent="0.25">
      <c r="H1934" s="10" t="str">
        <f t="shared" si="31"/>
        <v/>
      </c>
    </row>
    <row r="1935" spans="8:8" x14ac:dyDescent="0.25">
      <c r="H1935" s="10" t="str">
        <f t="shared" si="31"/>
        <v/>
      </c>
    </row>
    <row r="1936" spans="8:8" x14ac:dyDescent="0.25">
      <c r="H1936" s="10" t="str">
        <f t="shared" si="31"/>
        <v/>
      </c>
    </row>
    <row r="1937" spans="8:8" x14ac:dyDescent="0.25">
      <c r="H1937" s="10" t="str">
        <f t="shared" si="31"/>
        <v/>
      </c>
    </row>
    <row r="1938" spans="8:8" x14ac:dyDescent="0.25">
      <c r="H1938" s="10" t="str">
        <f t="shared" si="31"/>
        <v/>
      </c>
    </row>
    <row r="1939" spans="8:8" x14ac:dyDescent="0.25">
      <c r="H1939" s="10" t="str">
        <f t="shared" si="31"/>
        <v/>
      </c>
    </row>
    <row r="1940" spans="8:8" x14ac:dyDescent="0.25">
      <c r="H1940" s="10" t="str">
        <f t="shared" si="31"/>
        <v/>
      </c>
    </row>
    <row r="1941" spans="8:8" x14ac:dyDescent="0.25">
      <c r="H1941" s="10" t="str">
        <f t="shared" si="31"/>
        <v/>
      </c>
    </row>
    <row r="1942" spans="8:8" x14ac:dyDescent="0.25">
      <c r="H1942" s="10" t="str">
        <f t="shared" si="31"/>
        <v/>
      </c>
    </row>
    <row r="1943" spans="8:8" x14ac:dyDescent="0.25">
      <c r="H1943" s="10" t="str">
        <f t="shared" si="31"/>
        <v/>
      </c>
    </row>
    <row r="1944" spans="8:8" x14ac:dyDescent="0.25">
      <c r="H1944" s="10" t="str">
        <f t="shared" si="31"/>
        <v/>
      </c>
    </row>
    <row r="1945" spans="8:8" x14ac:dyDescent="0.25">
      <c r="H1945" s="10" t="str">
        <f t="shared" si="31"/>
        <v/>
      </c>
    </row>
    <row r="1946" spans="8:8" x14ac:dyDescent="0.25">
      <c r="H1946" s="10" t="str">
        <f t="shared" si="31"/>
        <v/>
      </c>
    </row>
    <row r="1947" spans="8:8" x14ac:dyDescent="0.25">
      <c r="H1947" s="10" t="str">
        <f t="shared" si="31"/>
        <v/>
      </c>
    </row>
    <row r="1948" spans="8:8" x14ac:dyDescent="0.25">
      <c r="H1948" s="10" t="str">
        <f t="shared" si="31"/>
        <v/>
      </c>
    </row>
    <row r="1949" spans="8:8" x14ac:dyDescent="0.25">
      <c r="H1949" s="10" t="str">
        <f t="shared" si="31"/>
        <v/>
      </c>
    </row>
    <row r="1950" spans="8:8" x14ac:dyDescent="0.25">
      <c r="H1950" s="10" t="str">
        <f t="shared" si="31"/>
        <v/>
      </c>
    </row>
    <row r="1951" spans="8:8" x14ac:dyDescent="0.25">
      <c r="H1951" s="10" t="str">
        <f t="shared" si="31"/>
        <v/>
      </c>
    </row>
    <row r="1952" spans="8:8" x14ac:dyDescent="0.25">
      <c r="H1952" s="10" t="str">
        <f t="shared" si="31"/>
        <v/>
      </c>
    </row>
    <row r="1953" spans="8:8" x14ac:dyDescent="0.25">
      <c r="H1953" s="10" t="str">
        <f t="shared" si="31"/>
        <v/>
      </c>
    </row>
    <row r="1954" spans="8:8" x14ac:dyDescent="0.25">
      <c r="H1954" s="10" t="str">
        <f t="shared" si="31"/>
        <v/>
      </c>
    </row>
    <row r="1955" spans="8:8" x14ac:dyDescent="0.25">
      <c r="H1955" s="10" t="str">
        <f t="shared" si="31"/>
        <v/>
      </c>
    </row>
    <row r="1956" spans="8:8" x14ac:dyDescent="0.25">
      <c r="H1956" s="10" t="str">
        <f t="shared" si="31"/>
        <v/>
      </c>
    </row>
    <row r="1957" spans="8:8" x14ac:dyDescent="0.25">
      <c r="H1957" s="10" t="str">
        <f t="shared" si="31"/>
        <v/>
      </c>
    </row>
    <row r="1958" spans="8:8" x14ac:dyDescent="0.25">
      <c r="H1958" s="10" t="str">
        <f t="shared" si="31"/>
        <v/>
      </c>
    </row>
    <row r="1959" spans="8:8" x14ac:dyDescent="0.25">
      <c r="H1959" s="10" t="str">
        <f t="shared" si="31"/>
        <v/>
      </c>
    </row>
    <row r="1960" spans="8:8" x14ac:dyDescent="0.25">
      <c r="H1960" s="10" t="str">
        <f t="shared" si="31"/>
        <v/>
      </c>
    </row>
    <row r="1961" spans="8:8" x14ac:dyDescent="0.25">
      <c r="H1961" s="10" t="str">
        <f t="shared" si="31"/>
        <v/>
      </c>
    </row>
    <row r="1962" spans="8:8" x14ac:dyDescent="0.25">
      <c r="H1962" s="10" t="str">
        <f t="shared" si="31"/>
        <v/>
      </c>
    </row>
    <row r="1963" spans="8:8" x14ac:dyDescent="0.25">
      <c r="H1963" s="10" t="str">
        <f t="shared" si="31"/>
        <v/>
      </c>
    </row>
    <row r="1964" spans="8:8" x14ac:dyDescent="0.25">
      <c r="H1964" s="10" t="str">
        <f t="shared" si="31"/>
        <v/>
      </c>
    </row>
    <row r="1965" spans="8:8" x14ac:dyDescent="0.25">
      <c r="H1965" s="10" t="str">
        <f t="shared" si="31"/>
        <v/>
      </c>
    </row>
    <row r="1966" spans="8:8" x14ac:dyDescent="0.25">
      <c r="H1966" s="10" t="str">
        <f t="shared" si="31"/>
        <v/>
      </c>
    </row>
    <row r="1967" spans="8:8" x14ac:dyDescent="0.25">
      <c r="H1967" s="10" t="str">
        <f t="shared" si="31"/>
        <v/>
      </c>
    </row>
    <row r="1968" spans="8:8" x14ac:dyDescent="0.25">
      <c r="H1968" s="10" t="str">
        <f t="shared" si="31"/>
        <v/>
      </c>
    </row>
    <row r="1969" spans="8:8" x14ac:dyDescent="0.25">
      <c r="H1969" s="10" t="str">
        <f t="shared" si="31"/>
        <v/>
      </c>
    </row>
    <row r="1970" spans="8:8" x14ac:dyDescent="0.25">
      <c r="H1970" s="10" t="str">
        <f t="shared" si="31"/>
        <v/>
      </c>
    </row>
    <row r="1971" spans="8:8" x14ac:dyDescent="0.25">
      <c r="H1971" s="10" t="str">
        <f t="shared" si="31"/>
        <v/>
      </c>
    </row>
    <row r="1972" spans="8:8" x14ac:dyDescent="0.25">
      <c r="H1972" s="10" t="str">
        <f t="shared" si="31"/>
        <v/>
      </c>
    </row>
    <row r="1973" spans="8:8" x14ac:dyDescent="0.25">
      <c r="H1973" s="10" t="str">
        <f t="shared" si="31"/>
        <v/>
      </c>
    </row>
    <row r="1974" spans="8:8" x14ac:dyDescent="0.25">
      <c r="H1974" s="10" t="str">
        <f t="shared" si="31"/>
        <v/>
      </c>
    </row>
    <row r="1975" spans="8:8" x14ac:dyDescent="0.25">
      <c r="H1975" s="10" t="str">
        <f t="shared" si="31"/>
        <v/>
      </c>
    </row>
    <row r="1976" spans="8:8" x14ac:dyDescent="0.25">
      <c r="H1976" s="10" t="str">
        <f t="shared" si="31"/>
        <v/>
      </c>
    </row>
    <row r="1977" spans="8:8" x14ac:dyDescent="0.25">
      <c r="H1977" s="10" t="str">
        <f t="shared" si="31"/>
        <v/>
      </c>
    </row>
    <row r="1978" spans="8:8" x14ac:dyDescent="0.25">
      <c r="H1978" s="10" t="str">
        <f t="shared" si="31"/>
        <v/>
      </c>
    </row>
    <row r="1979" spans="8:8" x14ac:dyDescent="0.25">
      <c r="H1979" s="10" t="str">
        <f t="shared" si="31"/>
        <v/>
      </c>
    </row>
    <row r="1980" spans="8:8" x14ac:dyDescent="0.25">
      <c r="H1980" s="10" t="str">
        <f t="shared" si="31"/>
        <v/>
      </c>
    </row>
    <row r="1981" spans="8:8" x14ac:dyDescent="0.25">
      <c r="H1981" s="10" t="str">
        <f t="shared" si="31"/>
        <v/>
      </c>
    </row>
    <row r="1982" spans="8:8" x14ac:dyDescent="0.25">
      <c r="H1982" s="10" t="str">
        <f t="shared" si="31"/>
        <v/>
      </c>
    </row>
    <row r="1983" spans="8:8" x14ac:dyDescent="0.25">
      <c r="H1983" s="10" t="str">
        <f t="shared" si="31"/>
        <v/>
      </c>
    </row>
    <row r="1984" spans="8:8" x14ac:dyDescent="0.25">
      <c r="H1984" s="10" t="str">
        <f t="shared" si="31"/>
        <v/>
      </c>
    </row>
    <row r="1985" spans="8:8" x14ac:dyDescent="0.25">
      <c r="H1985" s="10" t="str">
        <f t="shared" si="31"/>
        <v/>
      </c>
    </row>
    <row r="1986" spans="8:8" x14ac:dyDescent="0.25">
      <c r="H1986" s="10" t="str">
        <f t="shared" si="31"/>
        <v/>
      </c>
    </row>
    <row r="1987" spans="8:8" x14ac:dyDescent="0.25">
      <c r="H1987" s="10" t="str">
        <f t="shared" si="31"/>
        <v/>
      </c>
    </row>
    <row r="1988" spans="8:8" x14ac:dyDescent="0.25">
      <c r="H1988" s="10" t="str">
        <f t="shared" ref="H1988:H2051" si="32">IFERROR(DATEVALUE(C1988),"")</f>
        <v/>
      </c>
    </row>
    <row r="1989" spans="8:8" x14ac:dyDescent="0.25">
      <c r="H1989" s="10" t="str">
        <f t="shared" si="32"/>
        <v/>
      </c>
    </row>
    <row r="1990" spans="8:8" x14ac:dyDescent="0.25">
      <c r="H1990" s="10" t="str">
        <f t="shared" si="32"/>
        <v/>
      </c>
    </row>
    <row r="1991" spans="8:8" x14ac:dyDescent="0.25">
      <c r="H1991" s="10" t="str">
        <f t="shared" si="32"/>
        <v/>
      </c>
    </row>
    <row r="1992" spans="8:8" x14ac:dyDescent="0.25">
      <c r="H1992" s="10" t="str">
        <f t="shared" si="32"/>
        <v/>
      </c>
    </row>
    <row r="1993" spans="8:8" x14ac:dyDescent="0.25">
      <c r="H1993" s="10" t="str">
        <f t="shared" si="32"/>
        <v/>
      </c>
    </row>
    <row r="1994" spans="8:8" x14ac:dyDescent="0.25">
      <c r="H1994" s="10" t="str">
        <f t="shared" si="32"/>
        <v/>
      </c>
    </row>
    <row r="1995" spans="8:8" x14ac:dyDescent="0.25">
      <c r="H1995" s="10" t="str">
        <f t="shared" si="32"/>
        <v/>
      </c>
    </row>
    <row r="1996" spans="8:8" x14ac:dyDescent="0.25">
      <c r="H1996" s="10" t="str">
        <f t="shared" si="32"/>
        <v/>
      </c>
    </row>
    <row r="1997" spans="8:8" x14ac:dyDescent="0.25">
      <c r="H1997" s="10" t="str">
        <f t="shared" si="32"/>
        <v/>
      </c>
    </row>
    <row r="1998" spans="8:8" x14ac:dyDescent="0.25">
      <c r="H1998" s="10" t="str">
        <f t="shared" si="32"/>
        <v/>
      </c>
    </row>
    <row r="1999" spans="8:8" x14ac:dyDescent="0.25">
      <c r="H1999" s="10" t="str">
        <f t="shared" si="32"/>
        <v/>
      </c>
    </row>
    <row r="2000" spans="8:8" x14ac:dyDescent="0.25">
      <c r="H2000" s="10" t="str">
        <f t="shared" si="32"/>
        <v/>
      </c>
    </row>
    <row r="2001" spans="8:8" x14ac:dyDescent="0.25">
      <c r="H2001" s="10" t="str">
        <f t="shared" si="32"/>
        <v/>
      </c>
    </row>
    <row r="2002" spans="8:8" x14ac:dyDescent="0.25">
      <c r="H2002" s="10" t="str">
        <f t="shared" si="32"/>
        <v/>
      </c>
    </row>
    <row r="2003" spans="8:8" x14ac:dyDescent="0.25">
      <c r="H2003" s="10" t="str">
        <f t="shared" si="32"/>
        <v/>
      </c>
    </row>
    <row r="2004" spans="8:8" x14ac:dyDescent="0.25">
      <c r="H2004" s="10" t="str">
        <f t="shared" si="32"/>
        <v/>
      </c>
    </row>
    <row r="2005" spans="8:8" x14ac:dyDescent="0.25">
      <c r="H2005" s="10" t="str">
        <f t="shared" si="32"/>
        <v/>
      </c>
    </row>
    <row r="2006" spans="8:8" x14ac:dyDescent="0.25">
      <c r="H2006" s="10" t="str">
        <f t="shared" si="32"/>
        <v/>
      </c>
    </row>
    <row r="2007" spans="8:8" x14ac:dyDescent="0.25">
      <c r="H2007" s="10" t="str">
        <f t="shared" si="32"/>
        <v/>
      </c>
    </row>
    <row r="2008" spans="8:8" x14ac:dyDescent="0.25">
      <c r="H2008" s="10" t="str">
        <f t="shared" si="32"/>
        <v/>
      </c>
    </row>
    <row r="2009" spans="8:8" x14ac:dyDescent="0.25">
      <c r="H2009" s="10" t="str">
        <f t="shared" si="32"/>
        <v/>
      </c>
    </row>
    <row r="2010" spans="8:8" x14ac:dyDescent="0.25">
      <c r="H2010" s="10" t="str">
        <f t="shared" si="32"/>
        <v/>
      </c>
    </row>
    <row r="2011" spans="8:8" x14ac:dyDescent="0.25">
      <c r="H2011" s="10" t="str">
        <f t="shared" si="32"/>
        <v/>
      </c>
    </row>
    <row r="2012" spans="8:8" x14ac:dyDescent="0.25">
      <c r="H2012" s="10" t="str">
        <f t="shared" si="32"/>
        <v/>
      </c>
    </row>
    <row r="2013" spans="8:8" x14ac:dyDescent="0.25">
      <c r="H2013" s="10" t="str">
        <f t="shared" si="32"/>
        <v/>
      </c>
    </row>
    <row r="2014" spans="8:8" x14ac:dyDescent="0.25">
      <c r="H2014" s="10" t="str">
        <f t="shared" si="32"/>
        <v/>
      </c>
    </row>
    <row r="2015" spans="8:8" x14ac:dyDescent="0.25">
      <c r="H2015" s="10" t="str">
        <f t="shared" si="32"/>
        <v/>
      </c>
    </row>
    <row r="2016" spans="8:8" x14ac:dyDescent="0.25">
      <c r="H2016" s="10" t="str">
        <f t="shared" si="32"/>
        <v/>
      </c>
    </row>
    <row r="2017" spans="8:8" x14ac:dyDescent="0.25">
      <c r="H2017" s="10" t="str">
        <f t="shared" si="32"/>
        <v/>
      </c>
    </row>
    <row r="2018" spans="8:8" x14ac:dyDescent="0.25">
      <c r="H2018" s="10" t="str">
        <f t="shared" si="32"/>
        <v/>
      </c>
    </row>
    <row r="2019" spans="8:8" x14ac:dyDescent="0.25">
      <c r="H2019" s="10" t="str">
        <f t="shared" si="32"/>
        <v/>
      </c>
    </row>
    <row r="2020" spans="8:8" x14ac:dyDescent="0.25">
      <c r="H2020" s="10" t="str">
        <f t="shared" si="32"/>
        <v/>
      </c>
    </row>
    <row r="2021" spans="8:8" x14ac:dyDescent="0.25">
      <c r="H2021" s="10" t="str">
        <f t="shared" si="32"/>
        <v/>
      </c>
    </row>
    <row r="2022" spans="8:8" x14ac:dyDescent="0.25">
      <c r="H2022" s="10" t="str">
        <f t="shared" si="32"/>
        <v/>
      </c>
    </row>
    <row r="2023" spans="8:8" x14ac:dyDescent="0.25">
      <c r="H2023" s="10" t="str">
        <f t="shared" si="32"/>
        <v/>
      </c>
    </row>
    <row r="2024" spans="8:8" x14ac:dyDescent="0.25">
      <c r="H2024" s="10" t="str">
        <f t="shared" si="32"/>
        <v/>
      </c>
    </row>
    <row r="2025" spans="8:8" x14ac:dyDescent="0.25">
      <c r="H2025" s="10" t="str">
        <f t="shared" si="32"/>
        <v/>
      </c>
    </row>
    <row r="2026" spans="8:8" x14ac:dyDescent="0.25">
      <c r="H2026" s="10" t="str">
        <f t="shared" si="32"/>
        <v/>
      </c>
    </row>
    <row r="2027" spans="8:8" x14ac:dyDescent="0.25">
      <c r="H2027" s="10" t="str">
        <f t="shared" si="32"/>
        <v/>
      </c>
    </row>
    <row r="2028" spans="8:8" x14ac:dyDescent="0.25">
      <c r="H2028" s="10" t="str">
        <f t="shared" si="32"/>
        <v/>
      </c>
    </row>
    <row r="2029" spans="8:8" x14ac:dyDescent="0.25">
      <c r="H2029" s="10" t="str">
        <f t="shared" si="32"/>
        <v/>
      </c>
    </row>
    <row r="2030" spans="8:8" x14ac:dyDescent="0.25">
      <c r="H2030" s="10" t="str">
        <f t="shared" si="32"/>
        <v/>
      </c>
    </row>
    <row r="2031" spans="8:8" x14ac:dyDescent="0.25">
      <c r="H2031" s="10" t="str">
        <f t="shared" si="32"/>
        <v/>
      </c>
    </row>
    <row r="2032" spans="8:8" x14ac:dyDescent="0.25">
      <c r="H2032" s="10" t="str">
        <f t="shared" si="32"/>
        <v/>
      </c>
    </row>
    <row r="2033" spans="8:8" x14ac:dyDescent="0.25">
      <c r="H2033" s="10" t="str">
        <f t="shared" si="32"/>
        <v/>
      </c>
    </row>
    <row r="2034" spans="8:8" x14ac:dyDescent="0.25">
      <c r="H2034" s="10" t="str">
        <f t="shared" si="32"/>
        <v/>
      </c>
    </row>
    <row r="2035" spans="8:8" x14ac:dyDescent="0.25">
      <c r="H2035" s="10" t="str">
        <f t="shared" si="32"/>
        <v/>
      </c>
    </row>
    <row r="2036" spans="8:8" x14ac:dyDescent="0.25">
      <c r="H2036" s="10" t="str">
        <f t="shared" si="32"/>
        <v/>
      </c>
    </row>
    <row r="2037" spans="8:8" x14ac:dyDescent="0.25">
      <c r="H2037" s="10" t="str">
        <f t="shared" si="32"/>
        <v/>
      </c>
    </row>
    <row r="2038" spans="8:8" x14ac:dyDescent="0.25">
      <c r="H2038" s="10" t="str">
        <f t="shared" si="32"/>
        <v/>
      </c>
    </row>
    <row r="2039" spans="8:8" x14ac:dyDescent="0.25">
      <c r="H2039" s="10" t="str">
        <f t="shared" si="32"/>
        <v/>
      </c>
    </row>
    <row r="2040" spans="8:8" x14ac:dyDescent="0.25">
      <c r="H2040" s="10" t="str">
        <f t="shared" si="32"/>
        <v/>
      </c>
    </row>
    <row r="2041" spans="8:8" x14ac:dyDescent="0.25">
      <c r="H2041" s="10" t="str">
        <f t="shared" si="32"/>
        <v/>
      </c>
    </row>
    <row r="2042" spans="8:8" x14ac:dyDescent="0.25">
      <c r="H2042" s="10" t="str">
        <f t="shared" si="32"/>
        <v/>
      </c>
    </row>
    <row r="2043" spans="8:8" x14ac:dyDescent="0.25">
      <c r="H2043" s="10" t="str">
        <f t="shared" si="32"/>
        <v/>
      </c>
    </row>
    <row r="2044" spans="8:8" x14ac:dyDescent="0.25">
      <c r="H2044" s="10" t="str">
        <f t="shared" si="32"/>
        <v/>
      </c>
    </row>
    <row r="2045" spans="8:8" x14ac:dyDescent="0.25">
      <c r="H2045" s="10" t="str">
        <f t="shared" si="32"/>
        <v/>
      </c>
    </row>
    <row r="2046" spans="8:8" x14ac:dyDescent="0.25">
      <c r="H2046" s="10" t="str">
        <f t="shared" si="32"/>
        <v/>
      </c>
    </row>
    <row r="2047" spans="8:8" x14ac:dyDescent="0.25">
      <c r="H2047" s="10" t="str">
        <f t="shared" si="32"/>
        <v/>
      </c>
    </row>
    <row r="2048" spans="8:8" x14ac:dyDescent="0.25">
      <c r="H2048" s="10" t="str">
        <f t="shared" si="32"/>
        <v/>
      </c>
    </row>
    <row r="2049" spans="8:8" x14ac:dyDescent="0.25">
      <c r="H2049" s="10" t="str">
        <f t="shared" si="32"/>
        <v/>
      </c>
    </row>
    <row r="2050" spans="8:8" x14ac:dyDescent="0.25">
      <c r="H2050" s="10" t="str">
        <f t="shared" si="32"/>
        <v/>
      </c>
    </row>
    <row r="2051" spans="8:8" x14ac:dyDescent="0.25">
      <c r="H2051" s="10" t="str">
        <f t="shared" si="32"/>
        <v/>
      </c>
    </row>
    <row r="2052" spans="8:8" x14ac:dyDescent="0.25">
      <c r="H2052" s="10" t="str">
        <f t="shared" ref="H2052:H2115" si="33">IFERROR(DATEVALUE(C2052),"")</f>
        <v/>
      </c>
    </row>
    <row r="2053" spans="8:8" x14ac:dyDescent="0.25">
      <c r="H2053" s="10" t="str">
        <f t="shared" si="33"/>
        <v/>
      </c>
    </row>
    <row r="2054" spans="8:8" x14ac:dyDescent="0.25">
      <c r="H2054" s="10" t="str">
        <f t="shared" si="33"/>
        <v/>
      </c>
    </row>
    <row r="2055" spans="8:8" x14ac:dyDescent="0.25">
      <c r="H2055" s="10" t="str">
        <f t="shared" si="33"/>
        <v/>
      </c>
    </row>
    <row r="2056" spans="8:8" x14ac:dyDescent="0.25">
      <c r="H2056" s="10" t="str">
        <f t="shared" si="33"/>
        <v/>
      </c>
    </row>
    <row r="2057" spans="8:8" x14ac:dyDescent="0.25">
      <c r="H2057" s="10" t="str">
        <f t="shared" si="33"/>
        <v/>
      </c>
    </row>
    <row r="2058" spans="8:8" x14ac:dyDescent="0.25">
      <c r="H2058" s="10" t="str">
        <f t="shared" si="33"/>
        <v/>
      </c>
    </row>
    <row r="2059" spans="8:8" x14ac:dyDescent="0.25">
      <c r="H2059" s="10" t="str">
        <f t="shared" si="33"/>
        <v/>
      </c>
    </row>
    <row r="2060" spans="8:8" x14ac:dyDescent="0.25">
      <c r="H2060" s="10" t="str">
        <f t="shared" si="33"/>
        <v/>
      </c>
    </row>
    <row r="2061" spans="8:8" x14ac:dyDescent="0.25">
      <c r="H2061" s="10" t="str">
        <f t="shared" si="33"/>
        <v/>
      </c>
    </row>
    <row r="2062" spans="8:8" x14ac:dyDescent="0.25">
      <c r="H2062" s="10" t="str">
        <f t="shared" si="33"/>
        <v/>
      </c>
    </row>
    <row r="2063" spans="8:8" x14ac:dyDescent="0.25">
      <c r="H2063" s="10" t="str">
        <f t="shared" si="33"/>
        <v/>
      </c>
    </row>
    <row r="2064" spans="8:8" x14ac:dyDescent="0.25">
      <c r="H2064" s="10" t="str">
        <f t="shared" si="33"/>
        <v/>
      </c>
    </row>
    <row r="2065" spans="8:8" x14ac:dyDescent="0.25">
      <c r="H2065" s="10" t="str">
        <f t="shared" si="33"/>
        <v/>
      </c>
    </row>
    <row r="2066" spans="8:8" x14ac:dyDescent="0.25">
      <c r="H2066" s="10" t="str">
        <f t="shared" si="33"/>
        <v/>
      </c>
    </row>
    <row r="2067" spans="8:8" x14ac:dyDescent="0.25">
      <c r="H2067" s="10" t="str">
        <f t="shared" si="33"/>
        <v/>
      </c>
    </row>
    <row r="2068" spans="8:8" x14ac:dyDescent="0.25">
      <c r="H2068" s="10" t="str">
        <f t="shared" si="33"/>
        <v/>
      </c>
    </row>
    <row r="2069" spans="8:8" x14ac:dyDescent="0.25">
      <c r="H2069" s="10" t="str">
        <f t="shared" si="33"/>
        <v/>
      </c>
    </row>
    <row r="2070" spans="8:8" x14ac:dyDescent="0.25">
      <c r="H2070" s="10" t="str">
        <f t="shared" si="33"/>
        <v/>
      </c>
    </row>
    <row r="2071" spans="8:8" x14ac:dyDescent="0.25">
      <c r="H2071" s="10" t="str">
        <f t="shared" si="33"/>
        <v/>
      </c>
    </row>
    <row r="2072" spans="8:8" x14ac:dyDescent="0.25">
      <c r="H2072" s="10" t="str">
        <f t="shared" si="33"/>
        <v/>
      </c>
    </row>
    <row r="2073" spans="8:8" x14ac:dyDescent="0.25">
      <c r="H2073" s="10" t="str">
        <f t="shared" si="33"/>
        <v/>
      </c>
    </row>
    <row r="2074" spans="8:8" x14ac:dyDescent="0.25">
      <c r="H2074" s="10" t="str">
        <f t="shared" si="33"/>
        <v/>
      </c>
    </row>
    <row r="2075" spans="8:8" x14ac:dyDescent="0.25">
      <c r="H2075" s="10" t="str">
        <f t="shared" si="33"/>
        <v/>
      </c>
    </row>
    <row r="2076" spans="8:8" x14ac:dyDescent="0.25">
      <c r="H2076" s="10" t="str">
        <f t="shared" si="33"/>
        <v/>
      </c>
    </row>
    <row r="2077" spans="8:8" x14ac:dyDescent="0.25">
      <c r="H2077" s="10" t="str">
        <f t="shared" si="33"/>
        <v/>
      </c>
    </row>
    <row r="2078" spans="8:8" x14ac:dyDescent="0.25">
      <c r="H2078" s="10" t="str">
        <f t="shared" si="33"/>
        <v/>
      </c>
    </row>
    <row r="2079" spans="8:8" x14ac:dyDescent="0.25">
      <c r="H2079" s="10" t="str">
        <f t="shared" si="33"/>
        <v/>
      </c>
    </row>
    <row r="2080" spans="8:8" x14ac:dyDescent="0.25">
      <c r="H2080" s="10" t="str">
        <f t="shared" si="33"/>
        <v/>
      </c>
    </row>
    <row r="2081" spans="8:8" x14ac:dyDescent="0.25">
      <c r="H2081" s="10" t="str">
        <f t="shared" si="33"/>
        <v/>
      </c>
    </row>
    <row r="2082" spans="8:8" x14ac:dyDescent="0.25">
      <c r="H2082" s="10" t="str">
        <f t="shared" si="33"/>
        <v/>
      </c>
    </row>
    <row r="2083" spans="8:8" x14ac:dyDescent="0.25">
      <c r="H2083" s="10" t="str">
        <f t="shared" si="33"/>
        <v/>
      </c>
    </row>
    <row r="2084" spans="8:8" x14ac:dyDescent="0.25">
      <c r="H2084" s="10" t="str">
        <f t="shared" si="33"/>
        <v/>
      </c>
    </row>
    <row r="2085" spans="8:8" x14ac:dyDescent="0.25">
      <c r="H2085" s="10" t="str">
        <f t="shared" si="33"/>
        <v/>
      </c>
    </row>
    <row r="2086" spans="8:8" x14ac:dyDescent="0.25">
      <c r="H2086" s="10" t="str">
        <f t="shared" si="33"/>
        <v/>
      </c>
    </row>
    <row r="2087" spans="8:8" x14ac:dyDescent="0.25">
      <c r="H2087" s="10" t="str">
        <f t="shared" si="33"/>
        <v/>
      </c>
    </row>
    <row r="2088" spans="8:8" x14ac:dyDescent="0.25">
      <c r="H2088" s="10" t="str">
        <f t="shared" si="33"/>
        <v/>
      </c>
    </row>
    <row r="2089" spans="8:8" x14ac:dyDescent="0.25">
      <c r="H2089" s="10" t="str">
        <f t="shared" si="33"/>
        <v/>
      </c>
    </row>
    <row r="2090" spans="8:8" x14ac:dyDescent="0.25">
      <c r="H2090" s="10" t="str">
        <f t="shared" si="33"/>
        <v/>
      </c>
    </row>
    <row r="2091" spans="8:8" x14ac:dyDescent="0.25">
      <c r="H2091" s="10" t="str">
        <f t="shared" si="33"/>
        <v/>
      </c>
    </row>
    <row r="2092" spans="8:8" x14ac:dyDescent="0.25">
      <c r="H2092" s="10" t="str">
        <f t="shared" si="33"/>
        <v/>
      </c>
    </row>
    <row r="2093" spans="8:8" x14ac:dyDescent="0.25">
      <c r="H2093" s="10" t="str">
        <f t="shared" si="33"/>
        <v/>
      </c>
    </row>
    <row r="2094" spans="8:8" x14ac:dyDescent="0.25">
      <c r="H2094" s="10" t="str">
        <f t="shared" si="33"/>
        <v/>
      </c>
    </row>
    <row r="2095" spans="8:8" x14ac:dyDescent="0.25">
      <c r="H2095" s="10" t="str">
        <f t="shared" si="33"/>
        <v/>
      </c>
    </row>
    <row r="2096" spans="8:8" x14ac:dyDescent="0.25">
      <c r="H2096" s="10" t="str">
        <f t="shared" si="33"/>
        <v/>
      </c>
    </row>
    <row r="2097" spans="8:8" x14ac:dyDescent="0.25">
      <c r="H2097" s="10" t="str">
        <f t="shared" si="33"/>
        <v/>
      </c>
    </row>
    <row r="2098" spans="8:8" x14ac:dyDescent="0.25">
      <c r="H2098" s="10" t="str">
        <f t="shared" si="33"/>
        <v/>
      </c>
    </row>
    <row r="2099" spans="8:8" x14ac:dyDescent="0.25">
      <c r="H2099" s="10" t="str">
        <f t="shared" si="33"/>
        <v/>
      </c>
    </row>
    <row r="2100" spans="8:8" x14ac:dyDescent="0.25">
      <c r="H2100" s="10" t="str">
        <f t="shared" si="33"/>
        <v/>
      </c>
    </row>
    <row r="2101" spans="8:8" x14ac:dyDescent="0.25">
      <c r="H2101" s="10" t="str">
        <f t="shared" si="33"/>
        <v/>
      </c>
    </row>
    <row r="2102" spans="8:8" x14ac:dyDescent="0.25">
      <c r="H2102" s="10" t="str">
        <f t="shared" si="33"/>
        <v/>
      </c>
    </row>
    <row r="2103" spans="8:8" x14ac:dyDescent="0.25">
      <c r="H2103" s="10" t="str">
        <f t="shared" si="33"/>
        <v/>
      </c>
    </row>
    <row r="2104" spans="8:8" x14ac:dyDescent="0.25">
      <c r="H2104" s="10" t="str">
        <f t="shared" si="33"/>
        <v/>
      </c>
    </row>
    <row r="2105" spans="8:8" x14ac:dyDescent="0.25">
      <c r="H2105" s="10" t="str">
        <f t="shared" si="33"/>
        <v/>
      </c>
    </row>
    <row r="2106" spans="8:8" x14ac:dyDescent="0.25">
      <c r="H2106" s="10" t="str">
        <f t="shared" si="33"/>
        <v/>
      </c>
    </row>
    <row r="2107" spans="8:8" x14ac:dyDescent="0.25">
      <c r="H2107" s="10" t="str">
        <f t="shared" si="33"/>
        <v/>
      </c>
    </row>
    <row r="2108" spans="8:8" x14ac:dyDescent="0.25">
      <c r="H2108" s="10" t="str">
        <f t="shared" si="33"/>
        <v/>
      </c>
    </row>
    <row r="2109" spans="8:8" x14ac:dyDescent="0.25">
      <c r="H2109" s="10" t="str">
        <f t="shared" si="33"/>
        <v/>
      </c>
    </row>
    <row r="2110" spans="8:8" x14ac:dyDescent="0.25">
      <c r="H2110" s="10" t="str">
        <f t="shared" si="33"/>
        <v/>
      </c>
    </row>
    <row r="2111" spans="8:8" x14ac:dyDescent="0.25">
      <c r="H2111" s="10" t="str">
        <f t="shared" si="33"/>
        <v/>
      </c>
    </row>
    <row r="2112" spans="8:8" x14ac:dyDescent="0.25">
      <c r="H2112" s="10" t="str">
        <f t="shared" si="33"/>
        <v/>
      </c>
    </row>
    <row r="2113" spans="8:8" x14ac:dyDescent="0.25">
      <c r="H2113" s="10" t="str">
        <f t="shared" si="33"/>
        <v/>
      </c>
    </row>
    <row r="2114" spans="8:8" x14ac:dyDescent="0.25">
      <c r="H2114" s="10" t="str">
        <f t="shared" si="33"/>
        <v/>
      </c>
    </row>
    <row r="2115" spans="8:8" x14ac:dyDescent="0.25">
      <c r="H2115" s="10" t="str">
        <f t="shared" si="33"/>
        <v/>
      </c>
    </row>
    <row r="2116" spans="8:8" x14ac:dyDescent="0.25">
      <c r="H2116" s="10" t="str">
        <f t="shared" ref="H2116:H2179" si="34">IFERROR(DATEVALUE(C2116),"")</f>
        <v/>
      </c>
    </row>
    <row r="2117" spans="8:8" x14ac:dyDescent="0.25">
      <c r="H2117" s="10" t="str">
        <f t="shared" si="34"/>
        <v/>
      </c>
    </row>
    <row r="2118" spans="8:8" x14ac:dyDescent="0.25">
      <c r="H2118" s="10" t="str">
        <f t="shared" si="34"/>
        <v/>
      </c>
    </row>
    <row r="2119" spans="8:8" x14ac:dyDescent="0.25">
      <c r="H2119" s="10" t="str">
        <f t="shared" si="34"/>
        <v/>
      </c>
    </row>
    <row r="2120" spans="8:8" x14ac:dyDescent="0.25">
      <c r="H2120" s="10" t="str">
        <f t="shared" si="34"/>
        <v/>
      </c>
    </row>
    <row r="2121" spans="8:8" x14ac:dyDescent="0.25">
      <c r="H2121" s="10" t="str">
        <f t="shared" si="34"/>
        <v/>
      </c>
    </row>
    <row r="2122" spans="8:8" x14ac:dyDescent="0.25">
      <c r="H2122" s="10" t="str">
        <f t="shared" si="34"/>
        <v/>
      </c>
    </row>
    <row r="2123" spans="8:8" x14ac:dyDescent="0.25">
      <c r="H2123" s="10" t="str">
        <f t="shared" si="34"/>
        <v/>
      </c>
    </row>
    <row r="2124" spans="8:8" x14ac:dyDescent="0.25">
      <c r="H2124" s="10" t="str">
        <f t="shared" si="34"/>
        <v/>
      </c>
    </row>
    <row r="2125" spans="8:8" x14ac:dyDescent="0.25">
      <c r="H2125" s="10" t="str">
        <f t="shared" si="34"/>
        <v/>
      </c>
    </row>
    <row r="2126" spans="8:8" x14ac:dyDescent="0.25">
      <c r="H2126" s="10" t="str">
        <f t="shared" si="34"/>
        <v/>
      </c>
    </row>
    <row r="2127" spans="8:8" x14ac:dyDescent="0.25">
      <c r="H2127" s="10" t="str">
        <f t="shared" si="34"/>
        <v/>
      </c>
    </row>
    <row r="2128" spans="8:8" x14ac:dyDescent="0.25">
      <c r="H2128" s="10" t="str">
        <f t="shared" si="34"/>
        <v/>
      </c>
    </row>
    <row r="2129" spans="8:8" x14ac:dyDescent="0.25">
      <c r="H2129" s="10" t="str">
        <f t="shared" si="34"/>
        <v/>
      </c>
    </row>
    <row r="2130" spans="8:8" x14ac:dyDescent="0.25">
      <c r="H2130" s="10" t="str">
        <f t="shared" si="34"/>
        <v/>
      </c>
    </row>
    <row r="2131" spans="8:8" x14ac:dyDescent="0.25">
      <c r="H2131" s="10" t="str">
        <f t="shared" si="34"/>
        <v/>
      </c>
    </row>
    <row r="2132" spans="8:8" x14ac:dyDescent="0.25">
      <c r="H2132" s="10" t="str">
        <f t="shared" si="34"/>
        <v/>
      </c>
    </row>
    <row r="2133" spans="8:8" x14ac:dyDescent="0.25">
      <c r="H2133" s="10" t="str">
        <f t="shared" si="34"/>
        <v/>
      </c>
    </row>
    <row r="2134" spans="8:8" x14ac:dyDescent="0.25">
      <c r="H2134" s="10" t="str">
        <f t="shared" si="34"/>
        <v/>
      </c>
    </row>
    <row r="2135" spans="8:8" x14ac:dyDescent="0.25">
      <c r="H2135" s="10" t="str">
        <f t="shared" si="34"/>
        <v/>
      </c>
    </row>
    <row r="2136" spans="8:8" x14ac:dyDescent="0.25">
      <c r="H2136" s="10" t="str">
        <f t="shared" si="34"/>
        <v/>
      </c>
    </row>
    <row r="2137" spans="8:8" x14ac:dyDescent="0.25">
      <c r="H2137" s="10" t="str">
        <f t="shared" si="34"/>
        <v/>
      </c>
    </row>
    <row r="2138" spans="8:8" x14ac:dyDescent="0.25">
      <c r="H2138" s="10" t="str">
        <f t="shared" si="34"/>
        <v/>
      </c>
    </row>
    <row r="2139" spans="8:8" x14ac:dyDescent="0.25">
      <c r="H2139" s="10" t="str">
        <f t="shared" si="34"/>
        <v/>
      </c>
    </row>
    <row r="2140" spans="8:8" x14ac:dyDescent="0.25">
      <c r="H2140" s="10" t="str">
        <f t="shared" si="34"/>
        <v/>
      </c>
    </row>
    <row r="2141" spans="8:8" x14ac:dyDescent="0.25">
      <c r="H2141" s="10" t="str">
        <f t="shared" si="34"/>
        <v/>
      </c>
    </row>
    <row r="2142" spans="8:8" x14ac:dyDescent="0.25">
      <c r="H2142" s="10" t="str">
        <f t="shared" si="34"/>
        <v/>
      </c>
    </row>
    <row r="2143" spans="8:8" x14ac:dyDescent="0.25">
      <c r="H2143" s="10" t="str">
        <f t="shared" si="34"/>
        <v/>
      </c>
    </row>
    <row r="2144" spans="8:8" x14ac:dyDescent="0.25">
      <c r="H2144" s="10" t="str">
        <f t="shared" si="34"/>
        <v/>
      </c>
    </row>
    <row r="2145" spans="8:8" x14ac:dyDescent="0.25">
      <c r="H2145" s="10" t="str">
        <f t="shared" si="34"/>
        <v/>
      </c>
    </row>
    <row r="2146" spans="8:8" x14ac:dyDescent="0.25">
      <c r="H2146" s="10" t="str">
        <f t="shared" si="34"/>
        <v/>
      </c>
    </row>
    <row r="2147" spans="8:8" x14ac:dyDescent="0.25">
      <c r="H2147" s="10" t="str">
        <f t="shared" si="34"/>
        <v/>
      </c>
    </row>
    <row r="2148" spans="8:8" x14ac:dyDescent="0.25">
      <c r="H2148" s="10" t="str">
        <f t="shared" si="34"/>
        <v/>
      </c>
    </row>
    <row r="2149" spans="8:8" x14ac:dyDescent="0.25">
      <c r="H2149" s="10" t="str">
        <f t="shared" si="34"/>
        <v/>
      </c>
    </row>
    <row r="2150" spans="8:8" x14ac:dyDescent="0.25">
      <c r="H2150" s="10" t="str">
        <f t="shared" si="34"/>
        <v/>
      </c>
    </row>
    <row r="2151" spans="8:8" x14ac:dyDescent="0.25">
      <c r="H2151" s="10" t="str">
        <f t="shared" si="34"/>
        <v/>
      </c>
    </row>
    <row r="2152" spans="8:8" x14ac:dyDescent="0.25">
      <c r="H2152" s="10" t="str">
        <f t="shared" si="34"/>
        <v/>
      </c>
    </row>
    <row r="2153" spans="8:8" x14ac:dyDescent="0.25">
      <c r="H2153" s="10" t="str">
        <f t="shared" si="34"/>
        <v/>
      </c>
    </row>
    <row r="2154" spans="8:8" x14ac:dyDescent="0.25">
      <c r="H2154" s="10" t="str">
        <f t="shared" si="34"/>
        <v/>
      </c>
    </row>
    <row r="2155" spans="8:8" x14ac:dyDescent="0.25">
      <c r="H2155" s="10" t="str">
        <f t="shared" si="34"/>
        <v/>
      </c>
    </row>
    <row r="2156" spans="8:8" x14ac:dyDescent="0.25">
      <c r="H2156" s="10" t="str">
        <f t="shared" si="34"/>
        <v/>
      </c>
    </row>
    <row r="2157" spans="8:8" x14ac:dyDescent="0.25">
      <c r="H2157" s="10" t="str">
        <f t="shared" si="34"/>
        <v/>
      </c>
    </row>
    <row r="2158" spans="8:8" x14ac:dyDescent="0.25">
      <c r="H2158" s="10" t="str">
        <f t="shared" si="34"/>
        <v/>
      </c>
    </row>
    <row r="2159" spans="8:8" x14ac:dyDescent="0.25">
      <c r="H2159" s="10" t="str">
        <f t="shared" si="34"/>
        <v/>
      </c>
    </row>
    <row r="2160" spans="8:8" x14ac:dyDescent="0.25">
      <c r="H2160" s="10" t="str">
        <f t="shared" si="34"/>
        <v/>
      </c>
    </row>
    <row r="2161" spans="8:8" x14ac:dyDescent="0.25">
      <c r="H2161" s="10" t="str">
        <f t="shared" si="34"/>
        <v/>
      </c>
    </row>
    <row r="2162" spans="8:8" x14ac:dyDescent="0.25">
      <c r="H2162" s="10" t="str">
        <f t="shared" si="34"/>
        <v/>
      </c>
    </row>
    <row r="2163" spans="8:8" x14ac:dyDescent="0.25">
      <c r="H2163" s="10" t="str">
        <f t="shared" si="34"/>
        <v/>
      </c>
    </row>
    <row r="2164" spans="8:8" x14ac:dyDescent="0.25">
      <c r="H2164" s="10" t="str">
        <f t="shared" si="34"/>
        <v/>
      </c>
    </row>
    <row r="2165" spans="8:8" x14ac:dyDescent="0.25">
      <c r="H2165" s="10" t="str">
        <f t="shared" si="34"/>
        <v/>
      </c>
    </row>
    <row r="2166" spans="8:8" x14ac:dyDescent="0.25">
      <c r="H2166" s="10" t="str">
        <f t="shared" si="34"/>
        <v/>
      </c>
    </row>
    <row r="2167" spans="8:8" x14ac:dyDescent="0.25">
      <c r="H2167" s="10" t="str">
        <f t="shared" si="34"/>
        <v/>
      </c>
    </row>
    <row r="2168" spans="8:8" x14ac:dyDescent="0.25">
      <c r="H2168" s="10" t="str">
        <f t="shared" si="34"/>
        <v/>
      </c>
    </row>
    <row r="2169" spans="8:8" x14ac:dyDescent="0.25">
      <c r="H2169" s="10" t="str">
        <f t="shared" si="34"/>
        <v/>
      </c>
    </row>
    <row r="2170" spans="8:8" x14ac:dyDescent="0.25">
      <c r="H2170" s="10" t="str">
        <f t="shared" si="34"/>
        <v/>
      </c>
    </row>
    <row r="2171" spans="8:8" x14ac:dyDescent="0.25">
      <c r="H2171" s="10" t="str">
        <f t="shared" si="34"/>
        <v/>
      </c>
    </row>
    <row r="2172" spans="8:8" x14ac:dyDescent="0.25">
      <c r="H2172" s="10" t="str">
        <f t="shared" si="34"/>
        <v/>
      </c>
    </row>
    <row r="2173" spans="8:8" x14ac:dyDescent="0.25">
      <c r="H2173" s="10" t="str">
        <f t="shared" si="34"/>
        <v/>
      </c>
    </row>
    <row r="2174" spans="8:8" x14ac:dyDescent="0.25">
      <c r="H2174" s="10" t="str">
        <f t="shared" si="34"/>
        <v/>
      </c>
    </row>
    <row r="2175" spans="8:8" x14ac:dyDescent="0.25">
      <c r="H2175" s="10" t="str">
        <f t="shared" si="34"/>
        <v/>
      </c>
    </row>
    <row r="2176" spans="8:8" x14ac:dyDescent="0.25">
      <c r="H2176" s="10" t="str">
        <f t="shared" si="34"/>
        <v/>
      </c>
    </row>
    <row r="2177" spans="8:8" x14ac:dyDescent="0.25">
      <c r="H2177" s="10" t="str">
        <f t="shared" si="34"/>
        <v/>
      </c>
    </row>
    <row r="2178" spans="8:8" x14ac:dyDescent="0.25">
      <c r="H2178" s="10" t="str">
        <f t="shared" si="34"/>
        <v/>
      </c>
    </row>
    <row r="2179" spans="8:8" x14ac:dyDescent="0.25">
      <c r="H2179" s="10" t="str">
        <f t="shared" si="34"/>
        <v/>
      </c>
    </row>
    <row r="2180" spans="8:8" x14ac:dyDescent="0.25">
      <c r="H2180" s="10" t="str">
        <f t="shared" ref="H2180:H2243" si="35">IFERROR(DATEVALUE(C2180),"")</f>
        <v/>
      </c>
    </row>
    <row r="2181" spans="8:8" x14ac:dyDescent="0.25">
      <c r="H2181" s="10" t="str">
        <f t="shared" si="35"/>
        <v/>
      </c>
    </row>
    <row r="2182" spans="8:8" x14ac:dyDescent="0.25">
      <c r="H2182" s="10" t="str">
        <f t="shared" si="35"/>
        <v/>
      </c>
    </row>
    <row r="2183" spans="8:8" x14ac:dyDescent="0.25">
      <c r="H2183" s="10" t="str">
        <f t="shared" si="35"/>
        <v/>
      </c>
    </row>
    <row r="2184" spans="8:8" x14ac:dyDescent="0.25">
      <c r="H2184" s="10" t="str">
        <f t="shared" si="35"/>
        <v/>
      </c>
    </row>
    <row r="2185" spans="8:8" x14ac:dyDescent="0.25">
      <c r="H2185" s="10" t="str">
        <f t="shared" si="35"/>
        <v/>
      </c>
    </row>
    <row r="2186" spans="8:8" x14ac:dyDescent="0.25">
      <c r="H2186" s="10" t="str">
        <f t="shared" si="35"/>
        <v/>
      </c>
    </row>
    <row r="2187" spans="8:8" x14ac:dyDescent="0.25">
      <c r="H2187" s="10" t="str">
        <f t="shared" si="35"/>
        <v/>
      </c>
    </row>
    <row r="2188" spans="8:8" x14ac:dyDescent="0.25">
      <c r="H2188" s="10" t="str">
        <f t="shared" si="35"/>
        <v/>
      </c>
    </row>
    <row r="2189" spans="8:8" x14ac:dyDescent="0.25">
      <c r="H2189" s="10" t="str">
        <f t="shared" si="35"/>
        <v/>
      </c>
    </row>
    <row r="2190" spans="8:8" x14ac:dyDescent="0.25">
      <c r="H2190" s="10" t="str">
        <f t="shared" si="35"/>
        <v/>
      </c>
    </row>
    <row r="2191" spans="8:8" x14ac:dyDescent="0.25">
      <c r="H2191" s="10" t="str">
        <f t="shared" si="35"/>
        <v/>
      </c>
    </row>
    <row r="2192" spans="8:8" x14ac:dyDescent="0.25">
      <c r="H2192" s="10" t="str">
        <f t="shared" si="35"/>
        <v/>
      </c>
    </row>
    <row r="2193" spans="8:8" x14ac:dyDescent="0.25">
      <c r="H2193" s="10" t="str">
        <f t="shared" si="35"/>
        <v/>
      </c>
    </row>
    <row r="2194" spans="8:8" x14ac:dyDescent="0.25">
      <c r="H2194" s="10" t="str">
        <f t="shared" si="35"/>
        <v/>
      </c>
    </row>
    <row r="2195" spans="8:8" x14ac:dyDescent="0.25">
      <c r="H2195" s="10" t="str">
        <f t="shared" si="35"/>
        <v/>
      </c>
    </row>
    <row r="2196" spans="8:8" x14ac:dyDescent="0.25">
      <c r="H2196" s="10" t="str">
        <f t="shared" si="35"/>
        <v/>
      </c>
    </row>
    <row r="2197" spans="8:8" x14ac:dyDescent="0.25">
      <c r="H2197" s="10" t="str">
        <f t="shared" si="35"/>
        <v/>
      </c>
    </row>
    <row r="2198" spans="8:8" x14ac:dyDescent="0.25">
      <c r="H2198" s="10" t="str">
        <f t="shared" si="35"/>
        <v/>
      </c>
    </row>
    <row r="2199" spans="8:8" x14ac:dyDescent="0.25">
      <c r="H2199" s="10" t="str">
        <f t="shared" si="35"/>
        <v/>
      </c>
    </row>
    <row r="2200" spans="8:8" x14ac:dyDescent="0.25">
      <c r="H2200" s="10" t="str">
        <f t="shared" si="35"/>
        <v/>
      </c>
    </row>
    <row r="2201" spans="8:8" x14ac:dyDescent="0.25">
      <c r="H2201" s="10" t="str">
        <f t="shared" si="35"/>
        <v/>
      </c>
    </row>
    <row r="2202" spans="8:8" x14ac:dyDescent="0.25">
      <c r="H2202" s="10" t="str">
        <f t="shared" si="35"/>
        <v/>
      </c>
    </row>
    <row r="2203" spans="8:8" x14ac:dyDescent="0.25">
      <c r="H2203" s="10" t="str">
        <f t="shared" si="35"/>
        <v/>
      </c>
    </row>
    <row r="2204" spans="8:8" x14ac:dyDescent="0.25">
      <c r="H2204" s="10" t="str">
        <f t="shared" si="35"/>
        <v/>
      </c>
    </row>
    <row r="2205" spans="8:8" x14ac:dyDescent="0.25">
      <c r="H2205" s="10" t="str">
        <f t="shared" si="35"/>
        <v/>
      </c>
    </row>
    <row r="2206" spans="8:8" x14ac:dyDescent="0.25">
      <c r="H2206" s="10" t="str">
        <f t="shared" si="35"/>
        <v/>
      </c>
    </row>
    <row r="2207" spans="8:8" x14ac:dyDescent="0.25">
      <c r="H2207" s="10" t="str">
        <f t="shared" si="35"/>
        <v/>
      </c>
    </row>
    <row r="2208" spans="8:8" x14ac:dyDescent="0.25">
      <c r="H2208" s="10" t="str">
        <f t="shared" si="35"/>
        <v/>
      </c>
    </row>
    <row r="2209" spans="8:8" x14ac:dyDescent="0.25">
      <c r="H2209" s="10" t="str">
        <f t="shared" si="35"/>
        <v/>
      </c>
    </row>
    <row r="2210" spans="8:8" x14ac:dyDescent="0.25">
      <c r="H2210" s="10" t="str">
        <f t="shared" si="35"/>
        <v/>
      </c>
    </row>
    <row r="2211" spans="8:8" x14ac:dyDescent="0.25">
      <c r="H2211" s="10" t="str">
        <f t="shared" si="35"/>
        <v/>
      </c>
    </row>
    <row r="2212" spans="8:8" x14ac:dyDescent="0.25">
      <c r="H2212" s="10" t="str">
        <f t="shared" si="35"/>
        <v/>
      </c>
    </row>
    <row r="2213" spans="8:8" x14ac:dyDescent="0.25">
      <c r="H2213" s="10" t="str">
        <f t="shared" si="35"/>
        <v/>
      </c>
    </row>
    <row r="2214" spans="8:8" x14ac:dyDescent="0.25">
      <c r="H2214" s="10" t="str">
        <f t="shared" si="35"/>
        <v/>
      </c>
    </row>
    <row r="2215" spans="8:8" x14ac:dyDescent="0.25">
      <c r="H2215" s="10" t="str">
        <f t="shared" si="35"/>
        <v/>
      </c>
    </row>
    <row r="2216" spans="8:8" x14ac:dyDescent="0.25">
      <c r="H2216" s="10" t="str">
        <f t="shared" si="35"/>
        <v/>
      </c>
    </row>
    <row r="2217" spans="8:8" x14ac:dyDescent="0.25">
      <c r="H2217" s="10" t="str">
        <f t="shared" si="35"/>
        <v/>
      </c>
    </row>
    <row r="2218" spans="8:8" x14ac:dyDescent="0.25">
      <c r="H2218" s="10" t="str">
        <f t="shared" si="35"/>
        <v/>
      </c>
    </row>
    <row r="2219" spans="8:8" x14ac:dyDescent="0.25">
      <c r="H2219" s="10" t="str">
        <f t="shared" si="35"/>
        <v/>
      </c>
    </row>
    <row r="2220" spans="8:8" x14ac:dyDescent="0.25">
      <c r="H2220" s="10" t="str">
        <f t="shared" si="35"/>
        <v/>
      </c>
    </row>
    <row r="2221" spans="8:8" x14ac:dyDescent="0.25">
      <c r="H2221" s="10" t="str">
        <f t="shared" si="35"/>
        <v/>
      </c>
    </row>
    <row r="2222" spans="8:8" x14ac:dyDescent="0.25">
      <c r="H2222" s="10" t="str">
        <f t="shared" si="35"/>
        <v/>
      </c>
    </row>
    <row r="2223" spans="8:8" x14ac:dyDescent="0.25">
      <c r="H2223" s="10" t="str">
        <f t="shared" si="35"/>
        <v/>
      </c>
    </row>
    <row r="2224" spans="8:8" x14ac:dyDescent="0.25">
      <c r="H2224" s="10" t="str">
        <f t="shared" si="35"/>
        <v/>
      </c>
    </row>
    <row r="2225" spans="8:8" x14ac:dyDescent="0.25">
      <c r="H2225" s="10" t="str">
        <f t="shared" si="35"/>
        <v/>
      </c>
    </row>
    <row r="2226" spans="8:8" x14ac:dyDescent="0.25">
      <c r="H2226" s="10" t="str">
        <f t="shared" si="35"/>
        <v/>
      </c>
    </row>
    <row r="2227" spans="8:8" x14ac:dyDescent="0.25">
      <c r="H2227" s="10" t="str">
        <f t="shared" si="35"/>
        <v/>
      </c>
    </row>
    <row r="2228" spans="8:8" x14ac:dyDescent="0.25">
      <c r="H2228" s="10" t="str">
        <f t="shared" si="35"/>
        <v/>
      </c>
    </row>
    <row r="2229" spans="8:8" x14ac:dyDescent="0.25">
      <c r="H2229" s="10" t="str">
        <f t="shared" si="35"/>
        <v/>
      </c>
    </row>
    <row r="2230" spans="8:8" x14ac:dyDescent="0.25">
      <c r="H2230" s="10" t="str">
        <f t="shared" si="35"/>
        <v/>
      </c>
    </row>
    <row r="2231" spans="8:8" x14ac:dyDescent="0.25">
      <c r="H2231" s="10" t="str">
        <f t="shared" si="35"/>
        <v/>
      </c>
    </row>
    <row r="2232" spans="8:8" x14ac:dyDescent="0.25">
      <c r="H2232" s="10" t="str">
        <f t="shared" si="35"/>
        <v/>
      </c>
    </row>
    <row r="2233" spans="8:8" x14ac:dyDescent="0.25">
      <c r="H2233" s="10" t="str">
        <f t="shared" si="35"/>
        <v/>
      </c>
    </row>
    <row r="2234" spans="8:8" x14ac:dyDescent="0.25">
      <c r="H2234" s="10" t="str">
        <f t="shared" si="35"/>
        <v/>
      </c>
    </row>
    <row r="2235" spans="8:8" x14ac:dyDescent="0.25">
      <c r="H2235" s="10" t="str">
        <f t="shared" si="35"/>
        <v/>
      </c>
    </row>
    <row r="2236" spans="8:8" x14ac:dyDescent="0.25">
      <c r="H2236" s="10" t="str">
        <f t="shared" si="35"/>
        <v/>
      </c>
    </row>
    <row r="2237" spans="8:8" x14ac:dyDescent="0.25">
      <c r="H2237" s="10" t="str">
        <f t="shared" si="35"/>
        <v/>
      </c>
    </row>
    <row r="2238" spans="8:8" x14ac:dyDescent="0.25">
      <c r="H2238" s="10" t="str">
        <f t="shared" si="35"/>
        <v/>
      </c>
    </row>
    <row r="2239" spans="8:8" x14ac:dyDescent="0.25">
      <c r="H2239" s="10" t="str">
        <f t="shared" si="35"/>
        <v/>
      </c>
    </row>
    <row r="2240" spans="8:8" x14ac:dyDescent="0.25">
      <c r="H2240" s="10" t="str">
        <f t="shared" si="35"/>
        <v/>
      </c>
    </row>
    <row r="2241" spans="8:8" x14ac:dyDescent="0.25">
      <c r="H2241" s="10" t="str">
        <f t="shared" si="35"/>
        <v/>
      </c>
    </row>
    <row r="2242" spans="8:8" x14ac:dyDescent="0.25">
      <c r="H2242" s="10" t="str">
        <f t="shared" si="35"/>
        <v/>
      </c>
    </row>
    <row r="2243" spans="8:8" x14ac:dyDescent="0.25">
      <c r="H2243" s="10" t="str">
        <f t="shared" si="35"/>
        <v/>
      </c>
    </row>
    <row r="2244" spans="8:8" x14ac:dyDescent="0.25">
      <c r="H2244" s="10" t="str">
        <f t="shared" ref="H2244:H2307" si="36">IFERROR(DATEVALUE(C2244),"")</f>
        <v/>
      </c>
    </row>
    <row r="2245" spans="8:8" x14ac:dyDescent="0.25">
      <c r="H2245" s="10" t="str">
        <f t="shared" si="36"/>
        <v/>
      </c>
    </row>
    <row r="2246" spans="8:8" x14ac:dyDescent="0.25">
      <c r="H2246" s="10" t="str">
        <f t="shared" si="36"/>
        <v/>
      </c>
    </row>
    <row r="2247" spans="8:8" x14ac:dyDescent="0.25">
      <c r="H2247" s="10" t="str">
        <f t="shared" si="36"/>
        <v/>
      </c>
    </row>
    <row r="2248" spans="8:8" x14ac:dyDescent="0.25">
      <c r="H2248" s="10" t="str">
        <f t="shared" si="36"/>
        <v/>
      </c>
    </row>
    <row r="2249" spans="8:8" x14ac:dyDescent="0.25">
      <c r="H2249" s="10" t="str">
        <f t="shared" si="36"/>
        <v/>
      </c>
    </row>
    <row r="2250" spans="8:8" x14ac:dyDescent="0.25">
      <c r="H2250" s="10" t="str">
        <f t="shared" si="36"/>
        <v/>
      </c>
    </row>
    <row r="2251" spans="8:8" x14ac:dyDescent="0.25">
      <c r="H2251" s="10" t="str">
        <f t="shared" si="36"/>
        <v/>
      </c>
    </row>
    <row r="2252" spans="8:8" x14ac:dyDescent="0.25">
      <c r="H2252" s="10" t="str">
        <f t="shared" si="36"/>
        <v/>
      </c>
    </row>
    <row r="2253" spans="8:8" x14ac:dyDescent="0.25">
      <c r="H2253" s="10" t="str">
        <f t="shared" si="36"/>
        <v/>
      </c>
    </row>
    <row r="2254" spans="8:8" x14ac:dyDescent="0.25">
      <c r="H2254" s="10" t="str">
        <f t="shared" si="36"/>
        <v/>
      </c>
    </row>
    <row r="2255" spans="8:8" x14ac:dyDescent="0.25">
      <c r="H2255" s="10" t="str">
        <f t="shared" si="36"/>
        <v/>
      </c>
    </row>
    <row r="2256" spans="8:8" x14ac:dyDescent="0.25">
      <c r="H2256" s="10" t="str">
        <f t="shared" si="36"/>
        <v/>
      </c>
    </row>
    <row r="2257" spans="8:8" x14ac:dyDescent="0.25">
      <c r="H2257" s="10" t="str">
        <f t="shared" si="36"/>
        <v/>
      </c>
    </row>
    <row r="2258" spans="8:8" x14ac:dyDescent="0.25">
      <c r="H2258" s="10" t="str">
        <f t="shared" si="36"/>
        <v/>
      </c>
    </row>
    <row r="2259" spans="8:8" x14ac:dyDescent="0.25">
      <c r="H2259" s="10" t="str">
        <f t="shared" si="36"/>
        <v/>
      </c>
    </row>
    <row r="2260" spans="8:8" x14ac:dyDescent="0.25">
      <c r="H2260" s="10" t="str">
        <f t="shared" si="36"/>
        <v/>
      </c>
    </row>
    <row r="2261" spans="8:8" x14ac:dyDescent="0.25">
      <c r="H2261" s="10" t="str">
        <f t="shared" si="36"/>
        <v/>
      </c>
    </row>
    <row r="2262" spans="8:8" x14ac:dyDescent="0.25">
      <c r="H2262" s="10" t="str">
        <f t="shared" si="36"/>
        <v/>
      </c>
    </row>
    <row r="2263" spans="8:8" x14ac:dyDescent="0.25">
      <c r="H2263" s="10" t="str">
        <f t="shared" si="36"/>
        <v/>
      </c>
    </row>
    <row r="2264" spans="8:8" x14ac:dyDescent="0.25">
      <c r="H2264" s="10" t="str">
        <f t="shared" si="36"/>
        <v/>
      </c>
    </row>
    <row r="2265" spans="8:8" x14ac:dyDescent="0.25">
      <c r="H2265" s="10" t="str">
        <f t="shared" si="36"/>
        <v/>
      </c>
    </row>
    <row r="2266" spans="8:8" x14ac:dyDescent="0.25">
      <c r="H2266" s="10" t="str">
        <f t="shared" si="36"/>
        <v/>
      </c>
    </row>
    <row r="2267" spans="8:8" x14ac:dyDescent="0.25">
      <c r="H2267" s="10" t="str">
        <f t="shared" si="36"/>
        <v/>
      </c>
    </row>
    <row r="2268" spans="8:8" x14ac:dyDescent="0.25">
      <c r="H2268" s="10" t="str">
        <f t="shared" si="36"/>
        <v/>
      </c>
    </row>
    <row r="2269" spans="8:8" x14ac:dyDescent="0.25">
      <c r="H2269" s="10" t="str">
        <f t="shared" si="36"/>
        <v/>
      </c>
    </row>
    <row r="2270" spans="8:8" x14ac:dyDescent="0.25">
      <c r="H2270" s="10" t="str">
        <f t="shared" si="36"/>
        <v/>
      </c>
    </row>
    <row r="2271" spans="8:8" x14ac:dyDescent="0.25">
      <c r="H2271" s="10" t="str">
        <f t="shared" si="36"/>
        <v/>
      </c>
    </row>
    <row r="2272" spans="8:8" x14ac:dyDescent="0.25">
      <c r="H2272" s="10" t="str">
        <f t="shared" si="36"/>
        <v/>
      </c>
    </row>
    <row r="2273" spans="8:8" x14ac:dyDescent="0.25">
      <c r="H2273" s="10" t="str">
        <f t="shared" si="36"/>
        <v/>
      </c>
    </row>
    <row r="2274" spans="8:8" x14ac:dyDescent="0.25">
      <c r="H2274" s="10" t="str">
        <f t="shared" si="36"/>
        <v/>
      </c>
    </row>
    <row r="2275" spans="8:8" x14ac:dyDescent="0.25">
      <c r="H2275" s="10" t="str">
        <f t="shared" si="36"/>
        <v/>
      </c>
    </row>
    <row r="2276" spans="8:8" x14ac:dyDescent="0.25">
      <c r="H2276" s="10" t="str">
        <f t="shared" si="36"/>
        <v/>
      </c>
    </row>
    <row r="2277" spans="8:8" x14ac:dyDescent="0.25">
      <c r="H2277" s="10" t="str">
        <f t="shared" si="36"/>
        <v/>
      </c>
    </row>
    <row r="2278" spans="8:8" x14ac:dyDescent="0.25">
      <c r="H2278" s="10" t="str">
        <f t="shared" si="36"/>
        <v/>
      </c>
    </row>
    <row r="2279" spans="8:8" x14ac:dyDescent="0.25">
      <c r="H2279" s="10" t="str">
        <f t="shared" si="36"/>
        <v/>
      </c>
    </row>
    <row r="2280" spans="8:8" x14ac:dyDescent="0.25">
      <c r="H2280" s="10" t="str">
        <f t="shared" si="36"/>
        <v/>
      </c>
    </row>
    <row r="2281" spans="8:8" x14ac:dyDescent="0.25">
      <c r="H2281" s="10" t="str">
        <f t="shared" si="36"/>
        <v/>
      </c>
    </row>
    <row r="2282" spans="8:8" x14ac:dyDescent="0.25">
      <c r="H2282" s="10" t="str">
        <f t="shared" si="36"/>
        <v/>
      </c>
    </row>
    <row r="2283" spans="8:8" x14ac:dyDescent="0.25">
      <c r="H2283" s="10" t="str">
        <f t="shared" si="36"/>
        <v/>
      </c>
    </row>
    <row r="2284" spans="8:8" x14ac:dyDescent="0.25">
      <c r="H2284" s="10" t="str">
        <f t="shared" si="36"/>
        <v/>
      </c>
    </row>
    <row r="2285" spans="8:8" x14ac:dyDescent="0.25">
      <c r="H2285" s="10" t="str">
        <f t="shared" si="36"/>
        <v/>
      </c>
    </row>
    <row r="2286" spans="8:8" x14ac:dyDescent="0.25">
      <c r="H2286" s="10" t="str">
        <f t="shared" si="36"/>
        <v/>
      </c>
    </row>
    <row r="2287" spans="8:8" x14ac:dyDescent="0.25">
      <c r="H2287" s="10" t="str">
        <f t="shared" si="36"/>
        <v/>
      </c>
    </row>
    <row r="2288" spans="8:8" x14ac:dyDescent="0.25">
      <c r="H2288" s="10" t="str">
        <f t="shared" si="36"/>
        <v/>
      </c>
    </row>
    <row r="2289" spans="8:8" x14ac:dyDescent="0.25">
      <c r="H2289" s="10" t="str">
        <f t="shared" si="36"/>
        <v/>
      </c>
    </row>
    <row r="2290" spans="8:8" x14ac:dyDescent="0.25">
      <c r="H2290" s="10" t="str">
        <f t="shared" si="36"/>
        <v/>
      </c>
    </row>
    <row r="2291" spans="8:8" x14ac:dyDescent="0.25">
      <c r="H2291" s="10" t="str">
        <f t="shared" si="36"/>
        <v/>
      </c>
    </row>
    <row r="2292" spans="8:8" x14ac:dyDescent="0.25">
      <c r="H2292" s="10" t="str">
        <f t="shared" si="36"/>
        <v/>
      </c>
    </row>
    <row r="2293" spans="8:8" x14ac:dyDescent="0.25">
      <c r="H2293" s="10" t="str">
        <f t="shared" si="36"/>
        <v/>
      </c>
    </row>
    <row r="2294" spans="8:8" x14ac:dyDescent="0.25">
      <c r="H2294" s="10" t="str">
        <f t="shared" si="36"/>
        <v/>
      </c>
    </row>
    <row r="2295" spans="8:8" x14ac:dyDescent="0.25">
      <c r="H2295" s="10" t="str">
        <f t="shared" si="36"/>
        <v/>
      </c>
    </row>
    <row r="2296" spans="8:8" x14ac:dyDescent="0.25">
      <c r="H2296" s="10" t="str">
        <f t="shared" si="36"/>
        <v/>
      </c>
    </row>
    <row r="2297" spans="8:8" x14ac:dyDescent="0.25">
      <c r="H2297" s="10" t="str">
        <f t="shared" si="36"/>
        <v/>
      </c>
    </row>
    <row r="2298" spans="8:8" x14ac:dyDescent="0.25">
      <c r="H2298" s="10" t="str">
        <f t="shared" si="36"/>
        <v/>
      </c>
    </row>
    <row r="2299" spans="8:8" x14ac:dyDescent="0.25">
      <c r="H2299" s="10" t="str">
        <f t="shared" si="36"/>
        <v/>
      </c>
    </row>
    <row r="2300" spans="8:8" x14ac:dyDescent="0.25">
      <c r="H2300" s="10" t="str">
        <f t="shared" si="36"/>
        <v/>
      </c>
    </row>
    <row r="2301" spans="8:8" x14ac:dyDescent="0.25">
      <c r="H2301" s="10" t="str">
        <f t="shared" si="36"/>
        <v/>
      </c>
    </row>
    <row r="2302" spans="8:8" x14ac:dyDescent="0.25">
      <c r="H2302" s="10" t="str">
        <f t="shared" si="36"/>
        <v/>
      </c>
    </row>
    <row r="2303" spans="8:8" x14ac:dyDescent="0.25">
      <c r="H2303" s="10" t="str">
        <f t="shared" si="36"/>
        <v/>
      </c>
    </row>
    <row r="2304" spans="8:8" x14ac:dyDescent="0.25">
      <c r="H2304" s="10" t="str">
        <f t="shared" si="36"/>
        <v/>
      </c>
    </row>
    <row r="2305" spans="8:8" x14ac:dyDescent="0.25">
      <c r="H2305" s="10" t="str">
        <f t="shared" si="36"/>
        <v/>
      </c>
    </row>
    <row r="2306" spans="8:8" x14ac:dyDescent="0.25">
      <c r="H2306" s="10" t="str">
        <f t="shared" si="36"/>
        <v/>
      </c>
    </row>
    <row r="2307" spans="8:8" x14ac:dyDescent="0.25">
      <c r="H2307" s="10" t="str">
        <f t="shared" si="36"/>
        <v/>
      </c>
    </row>
    <row r="2308" spans="8:8" x14ac:dyDescent="0.25">
      <c r="H2308" s="10" t="str">
        <f t="shared" ref="H2308:H2371" si="37">IFERROR(DATEVALUE(C2308),"")</f>
        <v/>
      </c>
    </row>
    <row r="2309" spans="8:8" x14ac:dyDescent="0.25">
      <c r="H2309" s="10" t="str">
        <f t="shared" si="37"/>
        <v/>
      </c>
    </row>
    <row r="2310" spans="8:8" x14ac:dyDescent="0.25">
      <c r="H2310" s="10" t="str">
        <f t="shared" si="37"/>
        <v/>
      </c>
    </row>
    <row r="2311" spans="8:8" x14ac:dyDescent="0.25">
      <c r="H2311" s="10" t="str">
        <f t="shared" si="37"/>
        <v/>
      </c>
    </row>
    <row r="2312" spans="8:8" x14ac:dyDescent="0.25">
      <c r="H2312" s="10" t="str">
        <f t="shared" si="37"/>
        <v/>
      </c>
    </row>
    <row r="2313" spans="8:8" x14ac:dyDescent="0.25">
      <c r="H2313" s="10" t="str">
        <f t="shared" si="37"/>
        <v/>
      </c>
    </row>
    <row r="2314" spans="8:8" x14ac:dyDescent="0.25">
      <c r="H2314" s="10" t="str">
        <f t="shared" si="37"/>
        <v/>
      </c>
    </row>
    <row r="2315" spans="8:8" x14ac:dyDescent="0.25">
      <c r="H2315" s="10" t="str">
        <f t="shared" si="37"/>
        <v/>
      </c>
    </row>
    <row r="2316" spans="8:8" x14ac:dyDescent="0.25">
      <c r="H2316" s="10" t="str">
        <f t="shared" si="37"/>
        <v/>
      </c>
    </row>
    <row r="2317" spans="8:8" x14ac:dyDescent="0.25">
      <c r="H2317" s="10" t="str">
        <f t="shared" si="37"/>
        <v/>
      </c>
    </row>
    <row r="2318" spans="8:8" x14ac:dyDescent="0.25">
      <c r="H2318" s="10" t="str">
        <f t="shared" si="37"/>
        <v/>
      </c>
    </row>
    <row r="2319" spans="8:8" x14ac:dyDescent="0.25">
      <c r="H2319" s="10" t="str">
        <f t="shared" si="37"/>
        <v/>
      </c>
    </row>
    <row r="2320" spans="8:8" x14ac:dyDescent="0.25">
      <c r="H2320" s="10" t="str">
        <f t="shared" si="37"/>
        <v/>
      </c>
    </row>
    <row r="2321" spans="8:8" x14ac:dyDescent="0.25">
      <c r="H2321" s="10" t="str">
        <f t="shared" si="37"/>
        <v/>
      </c>
    </row>
    <row r="2322" spans="8:8" x14ac:dyDescent="0.25">
      <c r="H2322" s="10" t="str">
        <f t="shared" si="37"/>
        <v/>
      </c>
    </row>
    <row r="2323" spans="8:8" x14ac:dyDescent="0.25">
      <c r="H2323" s="10" t="str">
        <f t="shared" si="37"/>
        <v/>
      </c>
    </row>
    <row r="2324" spans="8:8" x14ac:dyDescent="0.25">
      <c r="H2324" s="10" t="str">
        <f t="shared" si="37"/>
        <v/>
      </c>
    </row>
    <row r="2325" spans="8:8" x14ac:dyDescent="0.25">
      <c r="H2325" s="10" t="str">
        <f t="shared" si="37"/>
        <v/>
      </c>
    </row>
    <row r="2326" spans="8:8" x14ac:dyDescent="0.25">
      <c r="H2326" s="10" t="str">
        <f t="shared" si="37"/>
        <v/>
      </c>
    </row>
    <row r="2327" spans="8:8" x14ac:dyDescent="0.25">
      <c r="H2327" s="10" t="str">
        <f t="shared" si="37"/>
        <v/>
      </c>
    </row>
    <row r="2328" spans="8:8" x14ac:dyDescent="0.25">
      <c r="H2328" s="10" t="str">
        <f t="shared" si="37"/>
        <v/>
      </c>
    </row>
    <row r="2329" spans="8:8" x14ac:dyDescent="0.25">
      <c r="H2329" s="10" t="str">
        <f t="shared" si="37"/>
        <v/>
      </c>
    </row>
    <row r="2330" spans="8:8" x14ac:dyDescent="0.25">
      <c r="H2330" s="10" t="str">
        <f t="shared" si="37"/>
        <v/>
      </c>
    </row>
    <row r="2331" spans="8:8" x14ac:dyDescent="0.25">
      <c r="H2331" s="10" t="str">
        <f t="shared" si="37"/>
        <v/>
      </c>
    </row>
    <row r="2332" spans="8:8" x14ac:dyDescent="0.25">
      <c r="H2332" s="10" t="str">
        <f t="shared" si="37"/>
        <v/>
      </c>
    </row>
    <row r="2333" spans="8:8" x14ac:dyDescent="0.25">
      <c r="H2333" s="10" t="str">
        <f t="shared" si="37"/>
        <v/>
      </c>
    </row>
    <row r="2334" spans="8:8" x14ac:dyDescent="0.25">
      <c r="H2334" s="10" t="str">
        <f t="shared" si="37"/>
        <v/>
      </c>
    </row>
    <row r="2335" spans="8:8" x14ac:dyDescent="0.25">
      <c r="H2335" s="10" t="str">
        <f t="shared" si="37"/>
        <v/>
      </c>
    </row>
    <row r="2336" spans="8:8" x14ac:dyDescent="0.25">
      <c r="H2336" s="10" t="str">
        <f t="shared" si="37"/>
        <v/>
      </c>
    </row>
    <row r="2337" spans="8:8" x14ac:dyDescent="0.25">
      <c r="H2337" s="10" t="str">
        <f t="shared" si="37"/>
        <v/>
      </c>
    </row>
    <row r="2338" spans="8:8" x14ac:dyDescent="0.25">
      <c r="H2338" s="10" t="str">
        <f t="shared" si="37"/>
        <v/>
      </c>
    </row>
    <row r="2339" spans="8:8" x14ac:dyDescent="0.25">
      <c r="H2339" s="10" t="str">
        <f t="shared" si="37"/>
        <v/>
      </c>
    </row>
    <row r="2340" spans="8:8" x14ac:dyDescent="0.25">
      <c r="H2340" s="10" t="str">
        <f t="shared" si="37"/>
        <v/>
      </c>
    </row>
    <row r="2341" spans="8:8" x14ac:dyDescent="0.25">
      <c r="H2341" s="10" t="str">
        <f t="shared" si="37"/>
        <v/>
      </c>
    </row>
    <row r="2342" spans="8:8" x14ac:dyDescent="0.25">
      <c r="H2342" s="10" t="str">
        <f t="shared" si="37"/>
        <v/>
      </c>
    </row>
    <row r="2343" spans="8:8" x14ac:dyDescent="0.25">
      <c r="H2343" s="10" t="str">
        <f t="shared" si="37"/>
        <v/>
      </c>
    </row>
    <row r="2344" spans="8:8" x14ac:dyDescent="0.25">
      <c r="H2344" s="10" t="str">
        <f t="shared" si="37"/>
        <v/>
      </c>
    </row>
    <row r="2345" spans="8:8" x14ac:dyDescent="0.25">
      <c r="H2345" s="10" t="str">
        <f t="shared" si="37"/>
        <v/>
      </c>
    </row>
    <row r="2346" spans="8:8" x14ac:dyDescent="0.25">
      <c r="H2346" s="10" t="str">
        <f t="shared" si="37"/>
        <v/>
      </c>
    </row>
    <row r="2347" spans="8:8" x14ac:dyDescent="0.25">
      <c r="H2347" s="10" t="str">
        <f t="shared" si="37"/>
        <v/>
      </c>
    </row>
    <row r="2348" spans="8:8" x14ac:dyDescent="0.25">
      <c r="H2348" s="10" t="str">
        <f t="shared" si="37"/>
        <v/>
      </c>
    </row>
    <row r="2349" spans="8:8" x14ac:dyDescent="0.25">
      <c r="H2349" s="10" t="str">
        <f t="shared" si="37"/>
        <v/>
      </c>
    </row>
    <row r="2350" spans="8:8" x14ac:dyDescent="0.25">
      <c r="H2350" s="10" t="str">
        <f t="shared" si="37"/>
        <v/>
      </c>
    </row>
    <row r="2351" spans="8:8" x14ac:dyDescent="0.25">
      <c r="H2351" s="10" t="str">
        <f t="shared" si="37"/>
        <v/>
      </c>
    </row>
    <row r="2352" spans="8:8" x14ac:dyDescent="0.25">
      <c r="H2352" s="10" t="str">
        <f t="shared" si="37"/>
        <v/>
      </c>
    </row>
    <row r="2353" spans="8:8" x14ac:dyDescent="0.25">
      <c r="H2353" s="10" t="str">
        <f t="shared" si="37"/>
        <v/>
      </c>
    </row>
    <row r="2354" spans="8:8" x14ac:dyDescent="0.25">
      <c r="H2354" s="10" t="str">
        <f t="shared" si="37"/>
        <v/>
      </c>
    </row>
    <row r="2355" spans="8:8" x14ac:dyDescent="0.25">
      <c r="H2355" s="10" t="str">
        <f t="shared" si="37"/>
        <v/>
      </c>
    </row>
    <row r="2356" spans="8:8" x14ac:dyDescent="0.25">
      <c r="H2356" s="10" t="str">
        <f t="shared" si="37"/>
        <v/>
      </c>
    </row>
    <row r="2357" spans="8:8" x14ac:dyDescent="0.25">
      <c r="H2357" s="10" t="str">
        <f t="shared" si="37"/>
        <v/>
      </c>
    </row>
    <row r="2358" spans="8:8" x14ac:dyDescent="0.25">
      <c r="H2358" s="10" t="str">
        <f t="shared" si="37"/>
        <v/>
      </c>
    </row>
    <row r="2359" spans="8:8" x14ac:dyDescent="0.25">
      <c r="H2359" s="10" t="str">
        <f t="shared" si="37"/>
        <v/>
      </c>
    </row>
    <row r="2360" spans="8:8" x14ac:dyDescent="0.25">
      <c r="H2360" s="10" t="str">
        <f t="shared" si="37"/>
        <v/>
      </c>
    </row>
    <row r="2361" spans="8:8" x14ac:dyDescent="0.25">
      <c r="H2361" s="10" t="str">
        <f t="shared" si="37"/>
        <v/>
      </c>
    </row>
    <row r="2362" spans="8:8" x14ac:dyDescent="0.25">
      <c r="H2362" s="10" t="str">
        <f t="shared" si="37"/>
        <v/>
      </c>
    </row>
    <row r="2363" spans="8:8" x14ac:dyDescent="0.25">
      <c r="H2363" s="10" t="str">
        <f t="shared" si="37"/>
        <v/>
      </c>
    </row>
    <row r="2364" spans="8:8" x14ac:dyDescent="0.25">
      <c r="H2364" s="10" t="str">
        <f t="shared" si="37"/>
        <v/>
      </c>
    </row>
    <row r="2365" spans="8:8" x14ac:dyDescent="0.25">
      <c r="H2365" s="10" t="str">
        <f t="shared" si="37"/>
        <v/>
      </c>
    </row>
    <row r="2366" spans="8:8" x14ac:dyDescent="0.25">
      <c r="H2366" s="10" t="str">
        <f t="shared" si="37"/>
        <v/>
      </c>
    </row>
    <row r="2367" spans="8:8" x14ac:dyDescent="0.25">
      <c r="H2367" s="10" t="str">
        <f t="shared" si="37"/>
        <v/>
      </c>
    </row>
    <row r="2368" spans="8:8" x14ac:dyDescent="0.25">
      <c r="H2368" s="10" t="str">
        <f t="shared" si="37"/>
        <v/>
      </c>
    </row>
    <row r="2369" spans="8:8" x14ac:dyDescent="0.25">
      <c r="H2369" s="10" t="str">
        <f t="shared" si="37"/>
        <v/>
      </c>
    </row>
    <row r="2370" spans="8:8" x14ac:dyDescent="0.25">
      <c r="H2370" s="10" t="str">
        <f t="shared" si="37"/>
        <v/>
      </c>
    </row>
    <row r="2371" spans="8:8" x14ac:dyDescent="0.25">
      <c r="H2371" s="10" t="str">
        <f t="shared" si="37"/>
        <v/>
      </c>
    </row>
    <row r="2372" spans="8:8" x14ac:dyDescent="0.25">
      <c r="H2372" s="10" t="str">
        <f t="shared" ref="H2372:H2435" si="38">IFERROR(DATEVALUE(C2372),"")</f>
        <v/>
      </c>
    </row>
    <row r="2373" spans="8:8" x14ac:dyDescent="0.25">
      <c r="H2373" s="10" t="str">
        <f t="shared" si="38"/>
        <v/>
      </c>
    </row>
    <row r="2374" spans="8:8" x14ac:dyDescent="0.25">
      <c r="H2374" s="10" t="str">
        <f t="shared" si="38"/>
        <v/>
      </c>
    </row>
    <row r="2375" spans="8:8" x14ac:dyDescent="0.25">
      <c r="H2375" s="10" t="str">
        <f t="shared" si="38"/>
        <v/>
      </c>
    </row>
    <row r="2376" spans="8:8" x14ac:dyDescent="0.25">
      <c r="H2376" s="10" t="str">
        <f t="shared" si="38"/>
        <v/>
      </c>
    </row>
    <row r="2377" spans="8:8" x14ac:dyDescent="0.25">
      <c r="H2377" s="10" t="str">
        <f t="shared" si="38"/>
        <v/>
      </c>
    </row>
    <row r="2378" spans="8:8" x14ac:dyDescent="0.25">
      <c r="H2378" s="10" t="str">
        <f t="shared" si="38"/>
        <v/>
      </c>
    </row>
    <row r="2379" spans="8:8" x14ac:dyDescent="0.25">
      <c r="H2379" s="10" t="str">
        <f t="shared" si="38"/>
        <v/>
      </c>
    </row>
    <row r="2380" spans="8:8" x14ac:dyDescent="0.25">
      <c r="H2380" s="10" t="str">
        <f t="shared" si="38"/>
        <v/>
      </c>
    </row>
    <row r="2381" spans="8:8" x14ac:dyDescent="0.25">
      <c r="H2381" s="10" t="str">
        <f t="shared" si="38"/>
        <v/>
      </c>
    </row>
    <row r="2382" spans="8:8" x14ac:dyDescent="0.25">
      <c r="H2382" s="10" t="str">
        <f t="shared" si="38"/>
        <v/>
      </c>
    </row>
    <row r="2383" spans="8:8" x14ac:dyDescent="0.25">
      <c r="H2383" s="10" t="str">
        <f t="shared" si="38"/>
        <v/>
      </c>
    </row>
    <row r="2384" spans="8:8" x14ac:dyDescent="0.25">
      <c r="H2384" s="10" t="str">
        <f t="shared" si="38"/>
        <v/>
      </c>
    </row>
    <row r="2385" spans="8:8" x14ac:dyDescent="0.25">
      <c r="H2385" s="10" t="str">
        <f t="shared" si="38"/>
        <v/>
      </c>
    </row>
    <row r="2386" spans="8:8" x14ac:dyDescent="0.25">
      <c r="H2386" s="10" t="str">
        <f t="shared" si="38"/>
        <v/>
      </c>
    </row>
    <row r="2387" spans="8:8" x14ac:dyDescent="0.25">
      <c r="H2387" s="10" t="str">
        <f t="shared" si="38"/>
        <v/>
      </c>
    </row>
    <row r="2388" spans="8:8" x14ac:dyDescent="0.25">
      <c r="H2388" s="10" t="str">
        <f t="shared" si="38"/>
        <v/>
      </c>
    </row>
    <row r="2389" spans="8:8" x14ac:dyDescent="0.25">
      <c r="H2389" s="10" t="str">
        <f t="shared" si="38"/>
        <v/>
      </c>
    </row>
    <row r="2390" spans="8:8" x14ac:dyDescent="0.25">
      <c r="H2390" s="10" t="str">
        <f t="shared" si="38"/>
        <v/>
      </c>
    </row>
    <row r="2391" spans="8:8" x14ac:dyDescent="0.25">
      <c r="H2391" s="10" t="str">
        <f t="shared" si="38"/>
        <v/>
      </c>
    </row>
    <row r="2392" spans="8:8" x14ac:dyDescent="0.25">
      <c r="H2392" s="10" t="str">
        <f t="shared" si="38"/>
        <v/>
      </c>
    </row>
    <row r="2393" spans="8:8" x14ac:dyDescent="0.25">
      <c r="H2393" s="10" t="str">
        <f t="shared" si="38"/>
        <v/>
      </c>
    </row>
    <row r="2394" spans="8:8" x14ac:dyDescent="0.25">
      <c r="H2394" s="10" t="str">
        <f t="shared" si="38"/>
        <v/>
      </c>
    </row>
    <row r="2395" spans="8:8" x14ac:dyDescent="0.25">
      <c r="H2395" s="10" t="str">
        <f t="shared" si="38"/>
        <v/>
      </c>
    </row>
    <row r="2396" spans="8:8" x14ac:dyDescent="0.25">
      <c r="H2396" s="10" t="str">
        <f t="shared" si="38"/>
        <v/>
      </c>
    </row>
    <row r="2397" spans="8:8" x14ac:dyDescent="0.25">
      <c r="H2397" s="10" t="str">
        <f t="shared" si="38"/>
        <v/>
      </c>
    </row>
    <row r="2398" spans="8:8" x14ac:dyDescent="0.25">
      <c r="H2398" s="10" t="str">
        <f t="shared" si="38"/>
        <v/>
      </c>
    </row>
    <row r="2399" spans="8:8" x14ac:dyDescent="0.25">
      <c r="H2399" s="10" t="str">
        <f t="shared" si="38"/>
        <v/>
      </c>
    </row>
    <row r="2400" spans="8:8" x14ac:dyDescent="0.25">
      <c r="H2400" s="10" t="str">
        <f t="shared" si="38"/>
        <v/>
      </c>
    </row>
    <row r="2401" spans="8:8" x14ac:dyDescent="0.25">
      <c r="H2401" s="10" t="str">
        <f t="shared" si="38"/>
        <v/>
      </c>
    </row>
    <row r="2402" spans="8:8" x14ac:dyDescent="0.25">
      <c r="H2402" s="10" t="str">
        <f t="shared" si="38"/>
        <v/>
      </c>
    </row>
    <row r="2403" spans="8:8" x14ac:dyDescent="0.25">
      <c r="H2403" s="10" t="str">
        <f t="shared" si="38"/>
        <v/>
      </c>
    </row>
    <row r="2404" spans="8:8" x14ac:dyDescent="0.25">
      <c r="H2404" s="10" t="str">
        <f t="shared" si="38"/>
        <v/>
      </c>
    </row>
    <row r="2405" spans="8:8" x14ac:dyDescent="0.25">
      <c r="H2405" s="10" t="str">
        <f t="shared" si="38"/>
        <v/>
      </c>
    </row>
    <row r="2406" spans="8:8" x14ac:dyDescent="0.25">
      <c r="H2406" s="10" t="str">
        <f t="shared" si="38"/>
        <v/>
      </c>
    </row>
    <row r="2407" spans="8:8" x14ac:dyDescent="0.25">
      <c r="H2407" s="10" t="str">
        <f t="shared" si="38"/>
        <v/>
      </c>
    </row>
    <row r="2408" spans="8:8" x14ac:dyDescent="0.25">
      <c r="H2408" s="10" t="str">
        <f t="shared" si="38"/>
        <v/>
      </c>
    </row>
    <row r="2409" spans="8:8" x14ac:dyDescent="0.25">
      <c r="H2409" s="10" t="str">
        <f t="shared" si="38"/>
        <v/>
      </c>
    </row>
    <row r="2410" spans="8:8" x14ac:dyDescent="0.25">
      <c r="H2410" s="10" t="str">
        <f t="shared" si="38"/>
        <v/>
      </c>
    </row>
    <row r="2411" spans="8:8" x14ac:dyDescent="0.25">
      <c r="H2411" s="10" t="str">
        <f t="shared" si="38"/>
        <v/>
      </c>
    </row>
    <row r="2412" spans="8:8" x14ac:dyDescent="0.25">
      <c r="H2412" s="10" t="str">
        <f t="shared" si="38"/>
        <v/>
      </c>
    </row>
    <row r="2413" spans="8:8" x14ac:dyDescent="0.25">
      <c r="H2413" s="10" t="str">
        <f t="shared" si="38"/>
        <v/>
      </c>
    </row>
    <row r="2414" spans="8:8" x14ac:dyDescent="0.25">
      <c r="H2414" s="10" t="str">
        <f t="shared" si="38"/>
        <v/>
      </c>
    </row>
    <row r="2415" spans="8:8" x14ac:dyDescent="0.25">
      <c r="H2415" s="10" t="str">
        <f t="shared" si="38"/>
        <v/>
      </c>
    </row>
    <row r="2416" spans="8:8" x14ac:dyDescent="0.25">
      <c r="H2416" s="10" t="str">
        <f t="shared" si="38"/>
        <v/>
      </c>
    </row>
    <row r="2417" spans="8:8" x14ac:dyDescent="0.25">
      <c r="H2417" s="10" t="str">
        <f t="shared" si="38"/>
        <v/>
      </c>
    </row>
    <row r="2418" spans="8:8" x14ac:dyDescent="0.25">
      <c r="H2418" s="10" t="str">
        <f t="shared" si="38"/>
        <v/>
      </c>
    </row>
    <row r="2419" spans="8:8" x14ac:dyDescent="0.25">
      <c r="H2419" s="10" t="str">
        <f t="shared" si="38"/>
        <v/>
      </c>
    </row>
    <row r="2420" spans="8:8" x14ac:dyDescent="0.25">
      <c r="H2420" s="10" t="str">
        <f t="shared" si="38"/>
        <v/>
      </c>
    </row>
    <row r="2421" spans="8:8" x14ac:dyDescent="0.25">
      <c r="H2421" s="10" t="str">
        <f t="shared" si="38"/>
        <v/>
      </c>
    </row>
    <row r="2422" spans="8:8" x14ac:dyDescent="0.25">
      <c r="H2422" s="10" t="str">
        <f t="shared" si="38"/>
        <v/>
      </c>
    </row>
    <row r="2423" spans="8:8" x14ac:dyDescent="0.25">
      <c r="H2423" s="10" t="str">
        <f t="shared" si="38"/>
        <v/>
      </c>
    </row>
    <row r="2424" spans="8:8" x14ac:dyDescent="0.25">
      <c r="H2424" s="10" t="str">
        <f t="shared" si="38"/>
        <v/>
      </c>
    </row>
    <row r="2425" spans="8:8" x14ac:dyDescent="0.25">
      <c r="H2425" s="10" t="str">
        <f t="shared" si="38"/>
        <v/>
      </c>
    </row>
    <row r="2426" spans="8:8" x14ac:dyDescent="0.25">
      <c r="H2426" s="10" t="str">
        <f t="shared" si="38"/>
        <v/>
      </c>
    </row>
    <row r="2427" spans="8:8" x14ac:dyDescent="0.25">
      <c r="H2427" s="10" t="str">
        <f t="shared" si="38"/>
        <v/>
      </c>
    </row>
    <row r="2428" spans="8:8" x14ac:dyDescent="0.25">
      <c r="H2428" s="10" t="str">
        <f t="shared" si="38"/>
        <v/>
      </c>
    </row>
    <row r="2429" spans="8:8" x14ac:dyDescent="0.25">
      <c r="H2429" s="10" t="str">
        <f t="shared" si="38"/>
        <v/>
      </c>
    </row>
    <row r="2430" spans="8:8" x14ac:dyDescent="0.25">
      <c r="H2430" s="10" t="str">
        <f t="shared" si="38"/>
        <v/>
      </c>
    </row>
    <row r="2431" spans="8:8" x14ac:dyDescent="0.25">
      <c r="H2431" s="10" t="str">
        <f t="shared" si="38"/>
        <v/>
      </c>
    </row>
    <row r="2432" spans="8:8" x14ac:dyDescent="0.25">
      <c r="H2432" s="10" t="str">
        <f t="shared" si="38"/>
        <v/>
      </c>
    </row>
    <row r="2433" spans="8:8" x14ac:dyDescent="0.25">
      <c r="H2433" s="10" t="str">
        <f t="shared" si="38"/>
        <v/>
      </c>
    </row>
    <row r="2434" spans="8:8" x14ac:dyDescent="0.25">
      <c r="H2434" s="10" t="str">
        <f t="shared" si="38"/>
        <v/>
      </c>
    </row>
    <row r="2435" spans="8:8" x14ac:dyDescent="0.25">
      <c r="H2435" s="10" t="str">
        <f t="shared" si="38"/>
        <v/>
      </c>
    </row>
    <row r="2436" spans="8:8" x14ac:dyDescent="0.25">
      <c r="H2436" s="10" t="str">
        <f t="shared" ref="H2436:H2499" si="39">IFERROR(DATEVALUE(C2436),"")</f>
        <v/>
      </c>
    </row>
    <row r="2437" spans="8:8" x14ac:dyDescent="0.25">
      <c r="H2437" s="10" t="str">
        <f t="shared" si="39"/>
        <v/>
      </c>
    </row>
    <row r="2438" spans="8:8" x14ac:dyDescent="0.25">
      <c r="H2438" s="10" t="str">
        <f t="shared" si="39"/>
        <v/>
      </c>
    </row>
    <row r="2439" spans="8:8" x14ac:dyDescent="0.25">
      <c r="H2439" s="10" t="str">
        <f t="shared" si="39"/>
        <v/>
      </c>
    </row>
    <row r="2440" spans="8:8" x14ac:dyDescent="0.25">
      <c r="H2440" s="10" t="str">
        <f t="shared" si="39"/>
        <v/>
      </c>
    </row>
    <row r="2441" spans="8:8" x14ac:dyDescent="0.25">
      <c r="H2441" s="10" t="str">
        <f t="shared" si="39"/>
        <v/>
      </c>
    </row>
    <row r="2442" spans="8:8" x14ac:dyDescent="0.25">
      <c r="H2442" s="10" t="str">
        <f t="shared" si="39"/>
        <v/>
      </c>
    </row>
    <row r="2443" spans="8:8" x14ac:dyDescent="0.25">
      <c r="H2443" s="10" t="str">
        <f t="shared" si="39"/>
        <v/>
      </c>
    </row>
    <row r="2444" spans="8:8" x14ac:dyDescent="0.25">
      <c r="H2444" s="10" t="str">
        <f t="shared" si="39"/>
        <v/>
      </c>
    </row>
    <row r="2445" spans="8:8" x14ac:dyDescent="0.25">
      <c r="H2445" s="10" t="str">
        <f t="shared" si="39"/>
        <v/>
      </c>
    </row>
    <row r="2446" spans="8:8" x14ac:dyDescent="0.25">
      <c r="H2446" s="10" t="str">
        <f t="shared" si="39"/>
        <v/>
      </c>
    </row>
    <row r="2447" spans="8:8" x14ac:dyDescent="0.25">
      <c r="H2447" s="10" t="str">
        <f t="shared" si="39"/>
        <v/>
      </c>
    </row>
    <row r="2448" spans="8:8" x14ac:dyDescent="0.25">
      <c r="H2448" s="10" t="str">
        <f t="shared" si="39"/>
        <v/>
      </c>
    </row>
    <row r="2449" spans="8:8" x14ac:dyDescent="0.25">
      <c r="H2449" s="10" t="str">
        <f t="shared" si="39"/>
        <v/>
      </c>
    </row>
    <row r="2450" spans="8:8" x14ac:dyDescent="0.25">
      <c r="H2450" s="10" t="str">
        <f t="shared" si="39"/>
        <v/>
      </c>
    </row>
    <row r="2451" spans="8:8" x14ac:dyDescent="0.25">
      <c r="H2451" s="10" t="str">
        <f t="shared" si="39"/>
        <v/>
      </c>
    </row>
    <row r="2452" spans="8:8" x14ac:dyDescent="0.25">
      <c r="H2452" s="10" t="str">
        <f t="shared" si="39"/>
        <v/>
      </c>
    </row>
    <row r="2453" spans="8:8" x14ac:dyDescent="0.25">
      <c r="H2453" s="10" t="str">
        <f t="shared" si="39"/>
        <v/>
      </c>
    </row>
    <row r="2454" spans="8:8" x14ac:dyDescent="0.25">
      <c r="H2454" s="10" t="str">
        <f t="shared" si="39"/>
        <v/>
      </c>
    </row>
    <row r="2455" spans="8:8" x14ac:dyDescent="0.25">
      <c r="H2455" s="10" t="str">
        <f t="shared" si="39"/>
        <v/>
      </c>
    </row>
    <row r="2456" spans="8:8" x14ac:dyDescent="0.25">
      <c r="H2456" s="10" t="str">
        <f t="shared" si="39"/>
        <v/>
      </c>
    </row>
    <row r="2457" spans="8:8" x14ac:dyDescent="0.25">
      <c r="H2457" s="10" t="str">
        <f t="shared" si="39"/>
        <v/>
      </c>
    </row>
    <row r="2458" spans="8:8" x14ac:dyDescent="0.25">
      <c r="H2458" s="10" t="str">
        <f t="shared" si="39"/>
        <v/>
      </c>
    </row>
    <row r="2459" spans="8:8" x14ac:dyDescent="0.25">
      <c r="H2459" s="10" t="str">
        <f t="shared" si="39"/>
        <v/>
      </c>
    </row>
    <row r="2460" spans="8:8" x14ac:dyDescent="0.25">
      <c r="H2460" s="10" t="str">
        <f t="shared" si="39"/>
        <v/>
      </c>
    </row>
    <row r="2461" spans="8:8" x14ac:dyDescent="0.25">
      <c r="H2461" s="10" t="str">
        <f t="shared" si="39"/>
        <v/>
      </c>
    </row>
    <row r="2462" spans="8:8" x14ac:dyDescent="0.25">
      <c r="H2462" s="10" t="str">
        <f t="shared" si="39"/>
        <v/>
      </c>
    </row>
    <row r="2463" spans="8:8" x14ac:dyDescent="0.25">
      <c r="H2463" s="10" t="str">
        <f t="shared" si="39"/>
        <v/>
      </c>
    </row>
    <row r="2464" spans="8:8" x14ac:dyDescent="0.25">
      <c r="H2464" s="10" t="str">
        <f t="shared" si="39"/>
        <v/>
      </c>
    </row>
    <row r="2465" spans="8:8" x14ac:dyDescent="0.25">
      <c r="H2465" s="10" t="str">
        <f t="shared" si="39"/>
        <v/>
      </c>
    </row>
    <row r="2466" spans="8:8" x14ac:dyDescent="0.25">
      <c r="H2466" s="10" t="str">
        <f t="shared" si="39"/>
        <v/>
      </c>
    </row>
    <row r="2467" spans="8:8" x14ac:dyDescent="0.25">
      <c r="H2467" s="10" t="str">
        <f t="shared" si="39"/>
        <v/>
      </c>
    </row>
    <row r="2468" spans="8:8" x14ac:dyDescent="0.25">
      <c r="H2468" s="10" t="str">
        <f t="shared" si="39"/>
        <v/>
      </c>
    </row>
    <row r="2469" spans="8:8" x14ac:dyDescent="0.25">
      <c r="H2469" s="10" t="str">
        <f t="shared" si="39"/>
        <v/>
      </c>
    </row>
    <row r="2470" spans="8:8" x14ac:dyDescent="0.25">
      <c r="H2470" s="10" t="str">
        <f t="shared" si="39"/>
        <v/>
      </c>
    </row>
    <row r="2471" spans="8:8" x14ac:dyDescent="0.25">
      <c r="H2471" s="10" t="str">
        <f t="shared" si="39"/>
        <v/>
      </c>
    </row>
    <row r="2472" spans="8:8" x14ac:dyDescent="0.25">
      <c r="H2472" s="10" t="str">
        <f t="shared" si="39"/>
        <v/>
      </c>
    </row>
    <row r="2473" spans="8:8" x14ac:dyDescent="0.25">
      <c r="H2473" s="10" t="str">
        <f t="shared" si="39"/>
        <v/>
      </c>
    </row>
    <row r="2474" spans="8:8" x14ac:dyDescent="0.25">
      <c r="H2474" s="10" t="str">
        <f t="shared" si="39"/>
        <v/>
      </c>
    </row>
    <row r="2475" spans="8:8" x14ac:dyDescent="0.25">
      <c r="H2475" s="10" t="str">
        <f t="shared" si="39"/>
        <v/>
      </c>
    </row>
    <row r="2476" spans="8:8" x14ac:dyDescent="0.25">
      <c r="H2476" s="10" t="str">
        <f t="shared" si="39"/>
        <v/>
      </c>
    </row>
    <row r="2477" spans="8:8" x14ac:dyDescent="0.25">
      <c r="H2477" s="10" t="str">
        <f t="shared" si="39"/>
        <v/>
      </c>
    </row>
    <row r="2478" spans="8:8" x14ac:dyDescent="0.25">
      <c r="H2478" s="10" t="str">
        <f t="shared" si="39"/>
        <v/>
      </c>
    </row>
    <row r="2479" spans="8:8" x14ac:dyDescent="0.25">
      <c r="H2479" s="10" t="str">
        <f t="shared" si="39"/>
        <v/>
      </c>
    </row>
    <row r="2480" spans="8:8" x14ac:dyDescent="0.25">
      <c r="H2480" s="10" t="str">
        <f t="shared" si="39"/>
        <v/>
      </c>
    </row>
    <row r="2481" spans="8:8" x14ac:dyDescent="0.25">
      <c r="H2481" s="10" t="str">
        <f t="shared" si="39"/>
        <v/>
      </c>
    </row>
    <row r="2482" spans="8:8" x14ac:dyDescent="0.25">
      <c r="H2482" s="10" t="str">
        <f t="shared" si="39"/>
        <v/>
      </c>
    </row>
    <row r="2483" spans="8:8" x14ac:dyDescent="0.25">
      <c r="H2483" s="10" t="str">
        <f t="shared" si="39"/>
        <v/>
      </c>
    </row>
    <row r="2484" spans="8:8" x14ac:dyDescent="0.25">
      <c r="H2484" s="10" t="str">
        <f t="shared" si="39"/>
        <v/>
      </c>
    </row>
    <row r="2485" spans="8:8" x14ac:dyDescent="0.25">
      <c r="H2485" s="10" t="str">
        <f t="shared" si="39"/>
        <v/>
      </c>
    </row>
    <row r="2486" spans="8:8" x14ac:dyDescent="0.25">
      <c r="H2486" s="10" t="str">
        <f t="shared" si="39"/>
        <v/>
      </c>
    </row>
    <row r="2487" spans="8:8" x14ac:dyDescent="0.25">
      <c r="H2487" s="10" t="str">
        <f t="shared" si="39"/>
        <v/>
      </c>
    </row>
    <row r="2488" spans="8:8" x14ac:dyDescent="0.25">
      <c r="H2488" s="10" t="str">
        <f t="shared" si="39"/>
        <v/>
      </c>
    </row>
    <row r="2489" spans="8:8" x14ac:dyDescent="0.25">
      <c r="H2489" s="10" t="str">
        <f t="shared" si="39"/>
        <v/>
      </c>
    </row>
    <row r="2490" spans="8:8" x14ac:dyDescent="0.25">
      <c r="H2490" s="10" t="str">
        <f t="shared" si="39"/>
        <v/>
      </c>
    </row>
    <row r="2491" spans="8:8" x14ac:dyDescent="0.25">
      <c r="H2491" s="10" t="str">
        <f t="shared" si="39"/>
        <v/>
      </c>
    </row>
    <row r="2492" spans="8:8" x14ac:dyDescent="0.25">
      <c r="H2492" s="10" t="str">
        <f t="shared" si="39"/>
        <v/>
      </c>
    </row>
    <row r="2493" spans="8:8" x14ac:dyDescent="0.25">
      <c r="H2493" s="10" t="str">
        <f t="shared" si="39"/>
        <v/>
      </c>
    </row>
    <row r="2494" spans="8:8" x14ac:dyDescent="0.25">
      <c r="H2494" s="10" t="str">
        <f t="shared" si="39"/>
        <v/>
      </c>
    </row>
    <row r="2495" spans="8:8" x14ac:dyDescent="0.25">
      <c r="H2495" s="10" t="str">
        <f t="shared" si="39"/>
        <v/>
      </c>
    </row>
    <row r="2496" spans="8:8" x14ac:dyDescent="0.25">
      <c r="H2496" s="10" t="str">
        <f t="shared" si="39"/>
        <v/>
      </c>
    </row>
    <row r="2497" spans="8:8" x14ac:dyDescent="0.25">
      <c r="H2497" s="10" t="str">
        <f t="shared" si="39"/>
        <v/>
      </c>
    </row>
    <row r="2498" spans="8:8" x14ac:dyDescent="0.25">
      <c r="H2498" s="10" t="str">
        <f t="shared" si="39"/>
        <v/>
      </c>
    </row>
    <row r="2499" spans="8:8" x14ac:dyDescent="0.25">
      <c r="H2499" s="10" t="str">
        <f t="shared" si="39"/>
        <v/>
      </c>
    </row>
    <row r="2500" spans="8:8" x14ac:dyDescent="0.25">
      <c r="H2500" s="10" t="str">
        <f t="shared" ref="H2500:H2563" si="40">IFERROR(DATEVALUE(C2500),"")</f>
        <v/>
      </c>
    </row>
    <row r="2501" spans="8:8" x14ac:dyDescent="0.25">
      <c r="H2501" s="10" t="str">
        <f t="shared" si="40"/>
        <v/>
      </c>
    </row>
    <row r="2502" spans="8:8" x14ac:dyDescent="0.25">
      <c r="H2502" s="10" t="str">
        <f t="shared" si="40"/>
        <v/>
      </c>
    </row>
    <row r="2503" spans="8:8" x14ac:dyDescent="0.25">
      <c r="H2503" s="10" t="str">
        <f t="shared" si="40"/>
        <v/>
      </c>
    </row>
    <row r="2504" spans="8:8" x14ac:dyDescent="0.25">
      <c r="H2504" s="10" t="str">
        <f t="shared" si="40"/>
        <v/>
      </c>
    </row>
    <row r="2505" spans="8:8" x14ac:dyDescent="0.25">
      <c r="H2505" s="10" t="str">
        <f t="shared" si="40"/>
        <v/>
      </c>
    </row>
    <row r="2506" spans="8:8" x14ac:dyDescent="0.25">
      <c r="H2506" s="10" t="str">
        <f t="shared" si="40"/>
        <v/>
      </c>
    </row>
    <row r="2507" spans="8:8" x14ac:dyDescent="0.25">
      <c r="H2507" s="10" t="str">
        <f t="shared" si="40"/>
        <v/>
      </c>
    </row>
    <row r="2508" spans="8:8" x14ac:dyDescent="0.25">
      <c r="H2508" s="10" t="str">
        <f t="shared" si="40"/>
        <v/>
      </c>
    </row>
    <row r="2509" spans="8:8" x14ac:dyDescent="0.25">
      <c r="H2509" s="10" t="str">
        <f t="shared" si="40"/>
        <v/>
      </c>
    </row>
    <row r="2510" spans="8:8" x14ac:dyDescent="0.25">
      <c r="H2510" s="10" t="str">
        <f t="shared" si="40"/>
        <v/>
      </c>
    </row>
    <row r="2511" spans="8:8" x14ac:dyDescent="0.25">
      <c r="H2511" s="10" t="str">
        <f t="shared" si="40"/>
        <v/>
      </c>
    </row>
    <row r="2512" spans="8:8" x14ac:dyDescent="0.25">
      <c r="H2512" s="10" t="str">
        <f t="shared" si="40"/>
        <v/>
      </c>
    </row>
    <row r="2513" spans="8:8" x14ac:dyDescent="0.25">
      <c r="H2513" s="10" t="str">
        <f t="shared" si="40"/>
        <v/>
      </c>
    </row>
    <row r="2514" spans="8:8" x14ac:dyDescent="0.25">
      <c r="H2514" s="10" t="str">
        <f t="shared" si="40"/>
        <v/>
      </c>
    </row>
    <row r="2515" spans="8:8" x14ac:dyDescent="0.25">
      <c r="H2515" s="10" t="str">
        <f t="shared" si="40"/>
        <v/>
      </c>
    </row>
    <row r="2516" spans="8:8" x14ac:dyDescent="0.25">
      <c r="H2516" s="10" t="str">
        <f t="shared" si="40"/>
        <v/>
      </c>
    </row>
    <row r="2517" spans="8:8" x14ac:dyDescent="0.25">
      <c r="H2517" s="10" t="str">
        <f t="shared" si="40"/>
        <v/>
      </c>
    </row>
    <row r="2518" spans="8:8" x14ac:dyDescent="0.25">
      <c r="H2518" s="10" t="str">
        <f t="shared" si="40"/>
        <v/>
      </c>
    </row>
    <row r="2519" spans="8:8" x14ac:dyDescent="0.25">
      <c r="H2519" s="10" t="str">
        <f t="shared" si="40"/>
        <v/>
      </c>
    </row>
    <row r="2520" spans="8:8" x14ac:dyDescent="0.25">
      <c r="H2520" s="10" t="str">
        <f t="shared" si="40"/>
        <v/>
      </c>
    </row>
    <row r="2521" spans="8:8" x14ac:dyDescent="0.25">
      <c r="H2521" s="10" t="str">
        <f t="shared" si="40"/>
        <v/>
      </c>
    </row>
    <row r="2522" spans="8:8" x14ac:dyDescent="0.25">
      <c r="H2522" s="10" t="str">
        <f t="shared" si="40"/>
        <v/>
      </c>
    </row>
    <row r="2523" spans="8:8" x14ac:dyDescent="0.25">
      <c r="H2523" s="10" t="str">
        <f t="shared" si="40"/>
        <v/>
      </c>
    </row>
    <row r="2524" spans="8:8" x14ac:dyDescent="0.25">
      <c r="H2524" s="10" t="str">
        <f t="shared" si="40"/>
        <v/>
      </c>
    </row>
    <row r="2525" spans="8:8" x14ac:dyDescent="0.25">
      <c r="H2525" s="10" t="str">
        <f t="shared" si="40"/>
        <v/>
      </c>
    </row>
    <row r="2526" spans="8:8" x14ac:dyDescent="0.25">
      <c r="H2526" s="10" t="str">
        <f t="shared" si="40"/>
        <v/>
      </c>
    </row>
    <row r="2527" spans="8:8" x14ac:dyDescent="0.25">
      <c r="H2527" s="10" t="str">
        <f t="shared" si="40"/>
        <v/>
      </c>
    </row>
    <row r="2528" spans="8:8" x14ac:dyDescent="0.25">
      <c r="H2528" s="10" t="str">
        <f t="shared" si="40"/>
        <v/>
      </c>
    </row>
    <row r="2529" spans="8:8" x14ac:dyDescent="0.25">
      <c r="H2529" s="10" t="str">
        <f t="shared" si="40"/>
        <v/>
      </c>
    </row>
    <row r="2530" spans="8:8" x14ac:dyDescent="0.25">
      <c r="H2530" s="10" t="str">
        <f t="shared" si="40"/>
        <v/>
      </c>
    </row>
    <row r="2531" spans="8:8" x14ac:dyDescent="0.25">
      <c r="H2531" s="10" t="str">
        <f t="shared" si="40"/>
        <v/>
      </c>
    </row>
    <row r="2532" spans="8:8" x14ac:dyDescent="0.25">
      <c r="H2532" s="10" t="str">
        <f t="shared" si="40"/>
        <v/>
      </c>
    </row>
    <row r="2533" spans="8:8" x14ac:dyDescent="0.25">
      <c r="H2533" s="10" t="str">
        <f t="shared" si="40"/>
        <v/>
      </c>
    </row>
    <row r="2534" spans="8:8" x14ac:dyDescent="0.25">
      <c r="H2534" s="10" t="str">
        <f t="shared" si="40"/>
        <v/>
      </c>
    </row>
    <row r="2535" spans="8:8" x14ac:dyDescent="0.25">
      <c r="H2535" s="10" t="str">
        <f t="shared" si="40"/>
        <v/>
      </c>
    </row>
    <row r="2536" spans="8:8" x14ac:dyDescent="0.25">
      <c r="H2536" s="10" t="str">
        <f t="shared" si="40"/>
        <v/>
      </c>
    </row>
    <row r="2537" spans="8:8" x14ac:dyDescent="0.25">
      <c r="H2537" s="10" t="str">
        <f t="shared" si="40"/>
        <v/>
      </c>
    </row>
    <row r="2538" spans="8:8" x14ac:dyDescent="0.25">
      <c r="H2538" s="10" t="str">
        <f t="shared" si="40"/>
        <v/>
      </c>
    </row>
    <row r="2539" spans="8:8" x14ac:dyDescent="0.25">
      <c r="H2539" s="10" t="str">
        <f t="shared" si="40"/>
        <v/>
      </c>
    </row>
    <row r="2540" spans="8:8" x14ac:dyDescent="0.25">
      <c r="H2540" s="10" t="str">
        <f t="shared" si="40"/>
        <v/>
      </c>
    </row>
    <row r="2541" spans="8:8" x14ac:dyDescent="0.25">
      <c r="H2541" s="10" t="str">
        <f t="shared" si="40"/>
        <v/>
      </c>
    </row>
    <row r="2542" spans="8:8" x14ac:dyDescent="0.25">
      <c r="H2542" s="10" t="str">
        <f t="shared" si="40"/>
        <v/>
      </c>
    </row>
    <row r="2543" spans="8:8" x14ac:dyDescent="0.25">
      <c r="H2543" s="10" t="str">
        <f t="shared" si="40"/>
        <v/>
      </c>
    </row>
    <row r="2544" spans="8:8" x14ac:dyDescent="0.25">
      <c r="H2544" s="10" t="str">
        <f t="shared" si="40"/>
        <v/>
      </c>
    </row>
    <row r="2545" spans="8:8" x14ac:dyDescent="0.25">
      <c r="H2545" s="10" t="str">
        <f t="shared" si="40"/>
        <v/>
      </c>
    </row>
    <row r="2546" spans="8:8" x14ac:dyDescent="0.25">
      <c r="H2546" s="10" t="str">
        <f t="shared" si="40"/>
        <v/>
      </c>
    </row>
    <row r="2547" spans="8:8" x14ac:dyDescent="0.25">
      <c r="H2547" s="10" t="str">
        <f t="shared" si="40"/>
        <v/>
      </c>
    </row>
    <row r="2548" spans="8:8" x14ac:dyDescent="0.25">
      <c r="H2548" s="10" t="str">
        <f t="shared" si="40"/>
        <v/>
      </c>
    </row>
    <row r="2549" spans="8:8" x14ac:dyDescent="0.25">
      <c r="H2549" s="10" t="str">
        <f t="shared" si="40"/>
        <v/>
      </c>
    </row>
    <row r="2550" spans="8:8" x14ac:dyDescent="0.25">
      <c r="H2550" s="10" t="str">
        <f t="shared" si="40"/>
        <v/>
      </c>
    </row>
    <row r="2551" spans="8:8" x14ac:dyDescent="0.25">
      <c r="H2551" s="10" t="str">
        <f t="shared" si="40"/>
        <v/>
      </c>
    </row>
    <row r="2552" spans="8:8" x14ac:dyDescent="0.25">
      <c r="H2552" s="10" t="str">
        <f t="shared" si="40"/>
        <v/>
      </c>
    </row>
    <row r="2553" spans="8:8" x14ac:dyDescent="0.25">
      <c r="H2553" s="10" t="str">
        <f t="shared" si="40"/>
        <v/>
      </c>
    </row>
    <row r="2554" spans="8:8" x14ac:dyDescent="0.25">
      <c r="H2554" s="10" t="str">
        <f t="shared" si="40"/>
        <v/>
      </c>
    </row>
    <row r="2555" spans="8:8" x14ac:dyDescent="0.25">
      <c r="H2555" s="10" t="str">
        <f t="shared" si="40"/>
        <v/>
      </c>
    </row>
    <row r="2556" spans="8:8" x14ac:dyDescent="0.25">
      <c r="H2556" s="10" t="str">
        <f t="shared" si="40"/>
        <v/>
      </c>
    </row>
    <row r="2557" spans="8:8" x14ac:dyDescent="0.25">
      <c r="H2557" s="10" t="str">
        <f t="shared" si="40"/>
        <v/>
      </c>
    </row>
    <row r="2558" spans="8:8" x14ac:dyDescent="0.25">
      <c r="H2558" s="10" t="str">
        <f t="shared" si="40"/>
        <v/>
      </c>
    </row>
    <row r="2559" spans="8:8" x14ac:dyDescent="0.25">
      <c r="H2559" s="10" t="str">
        <f t="shared" si="40"/>
        <v/>
      </c>
    </row>
    <row r="2560" spans="8:8" x14ac:dyDescent="0.25">
      <c r="H2560" s="10" t="str">
        <f t="shared" si="40"/>
        <v/>
      </c>
    </row>
    <row r="2561" spans="8:8" x14ac:dyDescent="0.25">
      <c r="H2561" s="10" t="str">
        <f t="shared" si="40"/>
        <v/>
      </c>
    </row>
    <row r="2562" spans="8:8" x14ac:dyDescent="0.25">
      <c r="H2562" s="10" t="str">
        <f t="shared" si="40"/>
        <v/>
      </c>
    </row>
    <row r="2563" spans="8:8" x14ac:dyDescent="0.25">
      <c r="H2563" s="10" t="str">
        <f t="shared" si="40"/>
        <v/>
      </c>
    </row>
    <row r="2564" spans="8:8" x14ac:dyDescent="0.25">
      <c r="H2564" s="10" t="str">
        <f t="shared" ref="H2564:H2627" si="41">IFERROR(DATEVALUE(C2564),"")</f>
        <v/>
      </c>
    </row>
    <row r="2565" spans="8:8" x14ac:dyDescent="0.25">
      <c r="H2565" s="10" t="str">
        <f t="shared" si="41"/>
        <v/>
      </c>
    </row>
    <row r="2566" spans="8:8" x14ac:dyDescent="0.25">
      <c r="H2566" s="10" t="str">
        <f t="shared" si="41"/>
        <v/>
      </c>
    </row>
    <row r="2567" spans="8:8" x14ac:dyDescent="0.25">
      <c r="H2567" s="10" t="str">
        <f t="shared" si="41"/>
        <v/>
      </c>
    </row>
    <row r="2568" spans="8:8" x14ac:dyDescent="0.25">
      <c r="H2568" s="10" t="str">
        <f t="shared" si="41"/>
        <v/>
      </c>
    </row>
    <row r="2569" spans="8:8" x14ac:dyDescent="0.25">
      <c r="H2569" s="10" t="str">
        <f t="shared" si="41"/>
        <v/>
      </c>
    </row>
    <row r="2570" spans="8:8" x14ac:dyDescent="0.25">
      <c r="H2570" s="10" t="str">
        <f t="shared" si="41"/>
        <v/>
      </c>
    </row>
    <row r="2571" spans="8:8" x14ac:dyDescent="0.25">
      <c r="H2571" s="10" t="str">
        <f t="shared" si="41"/>
        <v/>
      </c>
    </row>
    <row r="2572" spans="8:8" x14ac:dyDescent="0.25">
      <c r="H2572" s="10" t="str">
        <f t="shared" si="41"/>
        <v/>
      </c>
    </row>
    <row r="2573" spans="8:8" x14ac:dyDescent="0.25">
      <c r="H2573" s="10" t="str">
        <f t="shared" si="41"/>
        <v/>
      </c>
    </row>
    <row r="2574" spans="8:8" x14ac:dyDescent="0.25">
      <c r="H2574" s="10" t="str">
        <f t="shared" si="41"/>
        <v/>
      </c>
    </row>
    <row r="2575" spans="8:8" x14ac:dyDescent="0.25">
      <c r="H2575" s="10" t="str">
        <f t="shared" si="41"/>
        <v/>
      </c>
    </row>
    <row r="2576" spans="8:8" x14ac:dyDescent="0.25">
      <c r="H2576" s="10" t="str">
        <f t="shared" si="41"/>
        <v/>
      </c>
    </row>
    <row r="2577" spans="8:8" x14ac:dyDescent="0.25">
      <c r="H2577" s="10" t="str">
        <f t="shared" si="41"/>
        <v/>
      </c>
    </row>
    <row r="2578" spans="8:8" x14ac:dyDescent="0.25">
      <c r="H2578" s="10" t="str">
        <f t="shared" si="41"/>
        <v/>
      </c>
    </row>
    <row r="2579" spans="8:8" x14ac:dyDescent="0.25">
      <c r="H2579" s="10" t="str">
        <f t="shared" si="41"/>
        <v/>
      </c>
    </row>
    <row r="2580" spans="8:8" x14ac:dyDescent="0.25">
      <c r="H2580" s="10" t="str">
        <f t="shared" si="41"/>
        <v/>
      </c>
    </row>
    <row r="2581" spans="8:8" x14ac:dyDescent="0.25">
      <c r="H2581" s="10" t="str">
        <f t="shared" si="41"/>
        <v/>
      </c>
    </row>
    <row r="2582" spans="8:8" x14ac:dyDescent="0.25">
      <c r="H2582" s="10" t="str">
        <f t="shared" si="41"/>
        <v/>
      </c>
    </row>
    <row r="2583" spans="8:8" x14ac:dyDescent="0.25">
      <c r="H2583" s="10" t="str">
        <f t="shared" si="41"/>
        <v/>
      </c>
    </row>
    <row r="2584" spans="8:8" x14ac:dyDescent="0.25">
      <c r="H2584" s="10" t="str">
        <f t="shared" si="41"/>
        <v/>
      </c>
    </row>
    <row r="2585" spans="8:8" x14ac:dyDescent="0.25">
      <c r="H2585" s="10" t="str">
        <f t="shared" si="41"/>
        <v/>
      </c>
    </row>
    <row r="2586" spans="8:8" x14ac:dyDescent="0.25">
      <c r="H2586" s="10" t="str">
        <f t="shared" si="41"/>
        <v/>
      </c>
    </row>
    <row r="2587" spans="8:8" x14ac:dyDescent="0.25">
      <c r="H2587" s="10" t="str">
        <f t="shared" si="41"/>
        <v/>
      </c>
    </row>
    <row r="2588" spans="8:8" x14ac:dyDescent="0.25">
      <c r="H2588" s="10" t="str">
        <f t="shared" si="41"/>
        <v/>
      </c>
    </row>
    <row r="2589" spans="8:8" x14ac:dyDescent="0.25">
      <c r="H2589" s="10" t="str">
        <f t="shared" si="41"/>
        <v/>
      </c>
    </row>
    <row r="2590" spans="8:8" x14ac:dyDescent="0.25">
      <c r="H2590" s="10" t="str">
        <f t="shared" si="41"/>
        <v/>
      </c>
    </row>
    <row r="2591" spans="8:8" x14ac:dyDescent="0.25">
      <c r="H2591" s="10" t="str">
        <f t="shared" si="41"/>
        <v/>
      </c>
    </row>
    <row r="2592" spans="8:8" x14ac:dyDescent="0.25">
      <c r="H2592" s="10" t="str">
        <f t="shared" si="41"/>
        <v/>
      </c>
    </row>
    <row r="2593" spans="8:8" x14ac:dyDescent="0.25">
      <c r="H2593" s="10" t="str">
        <f t="shared" si="41"/>
        <v/>
      </c>
    </row>
    <row r="2594" spans="8:8" x14ac:dyDescent="0.25">
      <c r="H2594" s="10" t="str">
        <f t="shared" si="41"/>
        <v/>
      </c>
    </row>
    <row r="2595" spans="8:8" x14ac:dyDescent="0.25">
      <c r="H2595" s="10" t="str">
        <f t="shared" si="41"/>
        <v/>
      </c>
    </row>
    <row r="2596" spans="8:8" x14ac:dyDescent="0.25">
      <c r="H2596" s="10" t="str">
        <f t="shared" si="41"/>
        <v/>
      </c>
    </row>
    <row r="2597" spans="8:8" x14ac:dyDescent="0.25">
      <c r="H2597" s="10" t="str">
        <f t="shared" si="41"/>
        <v/>
      </c>
    </row>
    <row r="2598" spans="8:8" x14ac:dyDescent="0.25">
      <c r="H2598" s="10" t="str">
        <f t="shared" si="41"/>
        <v/>
      </c>
    </row>
    <row r="2599" spans="8:8" x14ac:dyDescent="0.25">
      <c r="H2599" s="10" t="str">
        <f t="shared" si="41"/>
        <v/>
      </c>
    </row>
    <row r="2600" spans="8:8" x14ac:dyDescent="0.25">
      <c r="H2600" s="10" t="str">
        <f t="shared" si="41"/>
        <v/>
      </c>
    </row>
    <row r="2601" spans="8:8" x14ac:dyDescent="0.25">
      <c r="H2601" s="10" t="str">
        <f t="shared" si="41"/>
        <v/>
      </c>
    </row>
    <row r="2602" spans="8:8" x14ac:dyDescent="0.25">
      <c r="H2602" s="10" t="str">
        <f t="shared" si="41"/>
        <v/>
      </c>
    </row>
    <row r="2603" spans="8:8" x14ac:dyDescent="0.25">
      <c r="H2603" s="10" t="str">
        <f t="shared" si="41"/>
        <v/>
      </c>
    </row>
    <row r="2604" spans="8:8" x14ac:dyDescent="0.25">
      <c r="H2604" s="10" t="str">
        <f t="shared" si="41"/>
        <v/>
      </c>
    </row>
    <row r="2605" spans="8:8" x14ac:dyDescent="0.25">
      <c r="H2605" s="10" t="str">
        <f t="shared" si="41"/>
        <v/>
      </c>
    </row>
    <row r="2606" spans="8:8" x14ac:dyDescent="0.25">
      <c r="H2606" s="10" t="str">
        <f t="shared" si="41"/>
        <v/>
      </c>
    </row>
    <row r="2607" spans="8:8" x14ac:dyDescent="0.25">
      <c r="H2607" s="10" t="str">
        <f t="shared" si="41"/>
        <v/>
      </c>
    </row>
    <row r="2608" spans="8:8" x14ac:dyDescent="0.25">
      <c r="H2608" s="10" t="str">
        <f t="shared" si="41"/>
        <v/>
      </c>
    </row>
    <row r="2609" spans="8:8" x14ac:dyDescent="0.25">
      <c r="H2609" s="10" t="str">
        <f t="shared" si="41"/>
        <v/>
      </c>
    </row>
    <row r="2610" spans="8:8" x14ac:dyDescent="0.25">
      <c r="H2610" s="10" t="str">
        <f t="shared" si="41"/>
        <v/>
      </c>
    </row>
    <row r="2611" spans="8:8" x14ac:dyDescent="0.25">
      <c r="H2611" s="10" t="str">
        <f t="shared" si="41"/>
        <v/>
      </c>
    </row>
    <row r="2612" spans="8:8" x14ac:dyDescent="0.25">
      <c r="H2612" s="10" t="str">
        <f t="shared" si="41"/>
        <v/>
      </c>
    </row>
    <row r="2613" spans="8:8" x14ac:dyDescent="0.25">
      <c r="H2613" s="10" t="str">
        <f t="shared" si="41"/>
        <v/>
      </c>
    </row>
    <row r="2614" spans="8:8" x14ac:dyDescent="0.25">
      <c r="H2614" s="10" t="str">
        <f t="shared" si="41"/>
        <v/>
      </c>
    </row>
    <row r="2615" spans="8:8" x14ac:dyDescent="0.25">
      <c r="H2615" s="10" t="str">
        <f t="shared" si="41"/>
        <v/>
      </c>
    </row>
    <row r="2616" spans="8:8" x14ac:dyDescent="0.25">
      <c r="H2616" s="10" t="str">
        <f t="shared" si="41"/>
        <v/>
      </c>
    </row>
    <row r="2617" spans="8:8" x14ac:dyDescent="0.25">
      <c r="H2617" s="10" t="str">
        <f t="shared" si="41"/>
        <v/>
      </c>
    </row>
    <row r="2618" spans="8:8" x14ac:dyDescent="0.25">
      <c r="H2618" s="10" t="str">
        <f t="shared" si="41"/>
        <v/>
      </c>
    </row>
    <row r="2619" spans="8:8" x14ac:dyDescent="0.25">
      <c r="H2619" s="10" t="str">
        <f t="shared" si="41"/>
        <v/>
      </c>
    </row>
    <row r="2620" spans="8:8" x14ac:dyDescent="0.25">
      <c r="H2620" s="10" t="str">
        <f t="shared" si="41"/>
        <v/>
      </c>
    </row>
    <row r="2621" spans="8:8" x14ac:dyDescent="0.25">
      <c r="H2621" s="10" t="str">
        <f t="shared" si="41"/>
        <v/>
      </c>
    </row>
    <row r="2622" spans="8:8" x14ac:dyDescent="0.25">
      <c r="H2622" s="10" t="str">
        <f t="shared" si="41"/>
        <v/>
      </c>
    </row>
    <row r="2623" spans="8:8" x14ac:dyDescent="0.25">
      <c r="H2623" s="10" t="str">
        <f t="shared" si="41"/>
        <v/>
      </c>
    </row>
    <row r="2624" spans="8:8" x14ac:dyDescent="0.25">
      <c r="H2624" s="10" t="str">
        <f t="shared" si="41"/>
        <v/>
      </c>
    </row>
    <row r="2625" spans="8:8" x14ac:dyDescent="0.25">
      <c r="H2625" s="10" t="str">
        <f t="shared" si="41"/>
        <v/>
      </c>
    </row>
    <row r="2626" spans="8:8" x14ac:dyDescent="0.25">
      <c r="H2626" s="10" t="str">
        <f t="shared" si="41"/>
        <v/>
      </c>
    </row>
    <row r="2627" spans="8:8" x14ac:dyDescent="0.25">
      <c r="H2627" s="10" t="str">
        <f t="shared" si="41"/>
        <v/>
      </c>
    </row>
    <row r="2628" spans="8:8" x14ac:dyDescent="0.25">
      <c r="H2628" s="10" t="str">
        <f t="shared" ref="H2628:H2691" si="42">IFERROR(DATEVALUE(C2628),"")</f>
        <v/>
      </c>
    </row>
    <row r="2629" spans="8:8" x14ac:dyDescent="0.25">
      <c r="H2629" s="10" t="str">
        <f t="shared" si="42"/>
        <v/>
      </c>
    </row>
    <row r="2630" spans="8:8" x14ac:dyDescent="0.25">
      <c r="H2630" s="10" t="str">
        <f t="shared" si="42"/>
        <v/>
      </c>
    </row>
    <row r="2631" spans="8:8" x14ac:dyDescent="0.25">
      <c r="H2631" s="10" t="str">
        <f t="shared" si="42"/>
        <v/>
      </c>
    </row>
    <row r="2632" spans="8:8" x14ac:dyDescent="0.25">
      <c r="H2632" s="10" t="str">
        <f t="shared" si="42"/>
        <v/>
      </c>
    </row>
    <row r="2633" spans="8:8" x14ac:dyDescent="0.25">
      <c r="H2633" s="10" t="str">
        <f t="shared" si="42"/>
        <v/>
      </c>
    </row>
    <row r="2634" spans="8:8" x14ac:dyDescent="0.25">
      <c r="H2634" s="10" t="str">
        <f t="shared" si="42"/>
        <v/>
      </c>
    </row>
    <row r="2635" spans="8:8" x14ac:dyDescent="0.25">
      <c r="H2635" s="10" t="str">
        <f t="shared" si="42"/>
        <v/>
      </c>
    </row>
    <row r="2636" spans="8:8" x14ac:dyDescent="0.25">
      <c r="H2636" s="10" t="str">
        <f t="shared" si="42"/>
        <v/>
      </c>
    </row>
    <row r="2637" spans="8:8" x14ac:dyDescent="0.25">
      <c r="H2637" s="10" t="str">
        <f t="shared" si="42"/>
        <v/>
      </c>
    </row>
    <row r="2638" spans="8:8" x14ac:dyDescent="0.25">
      <c r="H2638" s="10" t="str">
        <f t="shared" si="42"/>
        <v/>
      </c>
    </row>
    <row r="2639" spans="8:8" x14ac:dyDescent="0.25">
      <c r="H2639" s="10" t="str">
        <f t="shared" si="42"/>
        <v/>
      </c>
    </row>
    <row r="2640" spans="8:8" x14ac:dyDescent="0.25">
      <c r="H2640" s="10" t="str">
        <f t="shared" si="42"/>
        <v/>
      </c>
    </row>
    <row r="2641" spans="8:8" x14ac:dyDescent="0.25">
      <c r="H2641" s="10" t="str">
        <f t="shared" si="42"/>
        <v/>
      </c>
    </row>
    <row r="2642" spans="8:8" x14ac:dyDescent="0.25">
      <c r="H2642" s="10" t="str">
        <f t="shared" si="42"/>
        <v/>
      </c>
    </row>
    <row r="2643" spans="8:8" x14ac:dyDescent="0.25">
      <c r="H2643" s="10" t="str">
        <f t="shared" si="42"/>
        <v/>
      </c>
    </row>
    <row r="2644" spans="8:8" x14ac:dyDescent="0.25">
      <c r="H2644" s="10" t="str">
        <f t="shared" si="42"/>
        <v/>
      </c>
    </row>
    <row r="2645" spans="8:8" x14ac:dyDescent="0.25">
      <c r="H2645" s="10" t="str">
        <f t="shared" si="42"/>
        <v/>
      </c>
    </row>
    <row r="2646" spans="8:8" x14ac:dyDescent="0.25">
      <c r="H2646" s="10" t="str">
        <f t="shared" si="42"/>
        <v/>
      </c>
    </row>
    <row r="2647" spans="8:8" x14ac:dyDescent="0.25">
      <c r="H2647" s="10" t="str">
        <f t="shared" si="42"/>
        <v/>
      </c>
    </row>
    <row r="2648" spans="8:8" x14ac:dyDescent="0.25">
      <c r="H2648" s="10" t="str">
        <f t="shared" si="42"/>
        <v/>
      </c>
    </row>
    <row r="2649" spans="8:8" x14ac:dyDescent="0.25">
      <c r="H2649" s="10" t="str">
        <f t="shared" si="42"/>
        <v/>
      </c>
    </row>
    <row r="2650" spans="8:8" x14ac:dyDescent="0.25">
      <c r="H2650" s="10" t="str">
        <f t="shared" si="42"/>
        <v/>
      </c>
    </row>
    <row r="2651" spans="8:8" x14ac:dyDescent="0.25">
      <c r="H2651" s="10" t="str">
        <f t="shared" si="42"/>
        <v/>
      </c>
    </row>
    <row r="2652" spans="8:8" x14ac:dyDescent="0.25">
      <c r="H2652" s="10" t="str">
        <f t="shared" si="42"/>
        <v/>
      </c>
    </row>
    <row r="2653" spans="8:8" x14ac:dyDescent="0.25">
      <c r="H2653" s="10" t="str">
        <f t="shared" si="42"/>
        <v/>
      </c>
    </row>
    <row r="2654" spans="8:8" x14ac:dyDescent="0.25">
      <c r="H2654" s="10" t="str">
        <f t="shared" si="42"/>
        <v/>
      </c>
    </row>
    <row r="2655" spans="8:8" x14ac:dyDescent="0.25">
      <c r="H2655" s="10" t="str">
        <f t="shared" si="42"/>
        <v/>
      </c>
    </row>
    <row r="2656" spans="8:8" x14ac:dyDescent="0.25">
      <c r="H2656" s="10" t="str">
        <f t="shared" si="42"/>
        <v/>
      </c>
    </row>
    <row r="2657" spans="8:8" x14ac:dyDescent="0.25">
      <c r="H2657" s="10" t="str">
        <f t="shared" si="42"/>
        <v/>
      </c>
    </row>
    <row r="2658" spans="8:8" x14ac:dyDescent="0.25">
      <c r="H2658" s="10" t="str">
        <f t="shared" si="42"/>
        <v/>
      </c>
    </row>
    <row r="2659" spans="8:8" x14ac:dyDescent="0.25">
      <c r="H2659" s="10" t="str">
        <f t="shared" si="42"/>
        <v/>
      </c>
    </row>
    <row r="2660" spans="8:8" x14ac:dyDescent="0.25">
      <c r="H2660" s="10" t="str">
        <f t="shared" si="42"/>
        <v/>
      </c>
    </row>
    <row r="2661" spans="8:8" x14ac:dyDescent="0.25">
      <c r="H2661" s="10" t="str">
        <f t="shared" si="42"/>
        <v/>
      </c>
    </row>
    <row r="2662" spans="8:8" x14ac:dyDescent="0.25">
      <c r="H2662" s="10" t="str">
        <f t="shared" si="42"/>
        <v/>
      </c>
    </row>
    <row r="2663" spans="8:8" x14ac:dyDescent="0.25">
      <c r="H2663" s="10" t="str">
        <f t="shared" si="42"/>
        <v/>
      </c>
    </row>
    <row r="2664" spans="8:8" x14ac:dyDescent="0.25">
      <c r="H2664" s="10" t="str">
        <f t="shared" si="42"/>
        <v/>
      </c>
    </row>
    <row r="2665" spans="8:8" x14ac:dyDescent="0.25">
      <c r="H2665" s="10" t="str">
        <f t="shared" si="42"/>
        <v/>
      </c>
    </row>
    <row r="2666" spans="8:8" x14ac:dyDescent="0.25">
      <c r="H2666" s="10" t="str">
        <f t="shared" si="42"/>
        <v/>
      </c>
    </row>
    <row r="2667" spans="8:8" x14ac:dyDescent="0.25">
      <c r="H2667" s="10" t="str">
        <f t="shared" si="42"/>
        <v/>
      </c>
    </row>
    <row r="2668" spans="8:8" x14ac:dyDescent="0.25">
      <c r="H2668" s="10" t="str">
        <f t="shared" si="42"/>
        <v/>
      </c>
    </row>
    <row r="2669" spans="8:8" x14ac:dyDescent="0.25">
      <c r="H2669" s="10" t="str">
        <f t="shared" si="42"/>
        <v/>
      </c>
    </row>
    <row r="2670" spans="8:8" x14ac:dyDescent="0.25">
      <c r="H2670" s="10" t="str">
        <f t="shared" si="42"/>
        <v/>
      </c>
    </row>
    <row r="2671" spans="8:8" x14ac:dyDescent="0.25">
      <c r="H2671" s="10" t="str">
        <f t="shared" si="42"/>
        <v/>
      </c>
    </row>
    <row r="2672" spans="8:8" x14ac:dyDescent="0.25">
      <c r="H2672" s="10" t="str">
        <f t="shared" si="42"/>
        <v/>
      </c>
    </row>
    <row r="2673" spans="8:8" x14ac:dyDescent="0.25">
      <c r="H2673" s="10" t="str">
        <f t="shared" si="42"/>
        <v/>
      </c>
    </row>
    <row r="2674" spans="8:8" x14ac:dyDescent="0.25">
      <c r="H2674" s="10" t="str">
        <f t="shared" si="42"/>
        <v/>
      </c>
    </row>
    <row r="2675" spans="8:8" x14ac:dyDescent="0.25">
      <c r="H2675" s="10" t="str">
        <f t="shared" si="42"/>
        <v/>
      </c>
    </row>
    <row r="2676" spans="8:8" x14ac:dyDescent="0.25">
      <c r="H2676" s="10" t="str">
        <f t="shared" si="42"/>
        <v/>
      </c>
    </row>
    <row r="2677" spans="8:8" x14ac:dyDescent="0.25">
      <c r="H2677" s="10" t="str">
        <f t="shared" si="42"/>
        <v/>
      </c>
    </row>
    <row r="2678" spans="8:8" x14ac:dyDescent="0.25">
      <c r="H2678" s="10" t="str">
        <f t="shared" si="42"/>
        <v/>
      </c>
    </row>
    <row r="2679" spans="8:8" x14ac:dyDescent="0.25">
      <c r="H2679" s="10" t="str">
        <f t="shared" si="42"/>
        <v/>
      </c>
    </row>
    <row r="2680" spans="8:8" x14ac:dyDescent="0.25">
      <c r="H2680" s="10" t="str">
        <f t="shared" si="42"/>
        <v/>
      </c>
    </row>
    <row r="2681" spans="8:8" x14ac:dyDescent="0.25">
      <c r="H2681" s="10" t="str">
        <f t="shared" si="42"/>
        <v/>
      </c>
    </row>
    <row r="2682" spans="8:8" x14ac:dyDescent="0.25">
      <c r="H2682" s="10" t="str">
        <f t="shared" si="42"/>
        <v/>
      </c>
    </row>
    <row r="2683" spans="8:8" x14ac:dyDescent="0.25">
      <c r="H2683" s="10" t="str">
        <f t="shared" si="42"/>
        <v/>
      </c>
    </row>
    <row r="2684" spans="8:8" x14ac:dyDescent="0.25">
      <c r="H2684" s="10" t="str">
        <f t="shared" si="42"/>
        <v/>
      </c>
    </row>
    <row r="2685" spans="8:8" x14ac:dyDescent="0.25">
      <c r="H2685" s="10" t="str">
        <f t="shared" si="42"/>
        <v/>
      </c>
    </row>
    <row r="2686" spans="8:8" x14ac:dyDescent="0.25">
      <c r="H2686" s="10" t="str">
        <f t="shared" si="42"/>
        <v/>
      </c>
    </row>
    <row r="2687" spans="8:8" x14ac:dyDescent="0.25">
      <c r="H2687" s="10" t="str">
        <f t="shared" si="42"/>
        <v/>
      </c>
    </row>
    <row r="2688" spans="8:8" x14ac:dyDescent="0.25">
      <c r="H2688" s="10" t="str">
        <f t="shared" si="42"/>
        <v/>
      </c>
    </row>
    <row r="2689" spans="8:8" x14ac:dyDescent="0.25">
      <c r="H2689" s="10" t="str">
        <f t="shared" si="42"/>
        <v/>
      </c>
    </row>
    <row r="2690" spans="8:8" x14ac:dyDescent="0.25">
      <c r="H2690" s="10" t="str">
        <f t="shared" si="42"/>
        <v/>
      </c>
    </row>
    <row r="2691" spans="8:8" x14ac:dyDescent="0.25">
      <c r="H2691" s="10" t="str">
        <f t="shared" si="42"/>
        <v/>
      </c>
    </row>
    <row r="2692" spans="8:8" x14ac:dyDescent="0.25">
      <c r="H2692" s="10" t="str">
        <f t="shared" ref="H2692:H2755" si="43">IFERROR(DATEVALUE(C2692),"")</f>
        <v/>
      </c>
    </row>
    <row r="2693" spans="8:8" x14ac:dyDescent="0.25">
      <c r="H2693" s="10" t="str">
        <f t="shared" si="43"/>
        <v/>
      </c>
    </row>
    <row r="2694" spans="8:8" x14ac:dyDescent="0.25">
      <c r="H2694" s="10" t="str">
        <f t="shared" si="43"/>
        <v/>
      </c>
    </row>
    <row r="2695" spans="8:8" x14ac:dyDescent="0.25">
      <c r="H2695" s="10" t="str">
        <f t="shared" si="43"/>
        <v/>
      </c>
    </row>
    <row r="2696" spans="8:8" x14ac:dyDescent="0.25">
      <c r="H2696" s="10" t="str">
        <f t="shared" si="43"/>
        <v/>
      </c>
    </row>
    <row r="2697" spans="8:8" x14ac:dyDescent="0.25">
      <c r="H2697" s="10" t="str">
        <f t="shared" si="43"/>
        <v/>
      </c>
    </row>
    <row r="2698" spans="8:8" x14ac:dyDescent="0.25">
      <c r="H2698" s="10" t="str">
        <f t="shared" si="43"/>
        <v/>
      </c>
    </row>
    <row r="2699" spans="8:8" x14ac:dyDescent="0.25">
      <c r="H2699" s="10" t="str">
        <f t="shared" si="43"/>
        <v/>
      </c>
    </row>
    <row r="2700" spans="8:8" x14ac:dyDescent="0.25">
      <c r="H2700" s="10" t="str">
        <f t="shared" si="43"/>
        <v/>
      </c>
    </row>
    <row r="2701" spans="8:8" x14ac:dyDescent="0.25">
      <c r="H2701" s="10" t="str">
        <f t="shared" si="43"/>
        <v/>
      </c>
    </row>
    <row r="2702" spans="8:8" x14ac:dyDescent="0.25">
      <c r="H2702" s="10" t="str">
        <f t="shared" si="43"/>
        <v/>
      </c>
    </row>
    <row r="2703" spans="8:8" x14ac:dyDescent="0.25">
      <c r="H2703" s="10" t="str">
        <f t="shared" si="43"/>
        <v/>
      </c>
    </row>
    <row r="2704" spans="8:8" x14ac:dyDescent="0.25">
      <c r="H2704" s="10" t="str">
        <f t="shared" si="43"/>
        <v/>
      </c>
    </row>
    <row r="2705" spans="8:8" x14ac:dyDescent="0.25">
      <c r="H2705" s="10" t="str">
        <f t="shared" si="43"/>
        <v/>
      </c>
    </row>
    <row r="2706" spans="8:8" x14ac:dyDescent="0.25">
      <c r="H2706" s="10" t="str">
        <f t="shared" si="43"/>
        <v/>
      </c>
    </row>
    <row r="2707" spans="8:8" x14ac:dyDescent="0.25">
      <c r="H2707" s="10" t="str">
        <f t="shared" si="43"/>
        <v/>
      </c>
    </row>
    <row r="2708" spans="8:8" x14ac:dyDescent="0.25">
      <c r="H2708" s="10" t="str">
        <f t="shared" si="43"/>
        <v/>
      </c>
    </row>
    <row r="2709" spans="8:8" x14ac:dyDescent="0.25">
      <c r="H2709" s="10" t="str">
        <f t="shared" si="43"/>
        <v/>
      </c>
    </row>
    <row r="2710" spans="8:8" x14ac:dyDescent="0.25">
      <c r="H2710" s="10" t="str">
        <f t="shared" si="43"/>
        <v/>
      </c>
    </row>
    <row r="2711" spans="8:8" x14ac:dyDescent="0.25">
      <c r="H2711" s="10" t="str">
        <f t="shared" si="43"/>
        <v/>
      </c>
    </row>
    <row r="2712" spans="8:8" x14ac:dyDescent="0.25">
      <c r="H2712" s="10" t="str">
        <f t="shared" si="43"/>
        <v/>
      </c>
    </row>
    <row r="2713" spans="8:8" x14ac:dyDescent="0.25">
      <c r="H2713" s="10" t="str">
        <f t="shared" si="43"/>
        <v/>
      </c>
    </row>
    <row r="2714" spans="8:8" x14ac:dyDescent="0.25">
      <c r="H2714" s="10" t="str">
        <f t="shared" si="43"/>
        <v/>
      </c>
    </row>
    <row r="2715" spans="8:8" x14ac:dyDescent="0.25">
      <c r="H2715" s="10" t="str">
        <f t="shared" si="43"/>
        <v/>
      </c>
    </row>
    <row r="2716" spans="8:8" x14ac:dyDescent="0.25">
      <c r="H2716" s="10" t="str">
        <f t="shared" si="43"/>
        <v/>
      </c>
    </row>
    <row r="2717" spans="8:8" x14ac:dyDescent="0.25">
      <c r="H2717" s="10" t="str">
        <f t="shared" si="43"/>
        <v/>
      </c>
    </row>
    <row r="2718" spans="8:8" x14ac:dyDescent="0.25">
      <c r="H2718" s="10" t="str">
        <f t="shared" si="43"/>
        <v/>
      </c>
    </row>
    <row r="2719" spans="8:8" x14ac:dyDescent="0.25">
      <c r="H2719" s="10" t="str">
        <f t="shared" si="43"/>
        <v/>
      </c>
    </row>
    <row r="2720" spans="8:8" x14ac:dyDescent="0.25">
      <c r="H2720" s="10" t="str">
        <f t="shared" si="43"/>
        <v/>
      </c>
    </row>
    <row r="2721" spans="8:8" x14ac:dyDescent="0.25">
      <c r="H2721" s="10" t="str">
        <f t="shared" si="43"/>
        <v/>
      </c>
    </row>
    <row r="2722" spans="8:8" x14ac:dyDescent="0.25">
      <c r="H2722" s="10" t="str">
        <f t="shared" si="43"/>
        <v/>
      </c>
    </row>
    <row r="2723" spans="8:8" x14ac:dyDescent="0.25">
      <c r="H2723" s="10" t="str">
        <f t="shared" si="43"/>
        <v/>
      </c>
    </row>
    <row r="2724" spans="8:8" x14ac:dyDescent="0.25">
      <c r="H2724" s="10" t="str">
        <f t="shared" si="43"/>
        <v/>
      </c>
    </row>
    <row r="2725" spans="8:8" x14ac:dyDescent="0.25">
      <c r="H2725" s="10" t="str">
        <f t="shared" si="43"/>
        <v/>
      </c>
    </row>
    <row r="2726" spans="8:8" x14ac:dyDescent="0.25">
      <c r="H2726" s="10" t="str">
        <f t="shared" si="43"/>
        <v/>
      </c>
    </row>
    <row r="2727" spans="8:8" x14ac:dyDescent="0.25">
      <c r="H2727" s="10" t="str">
        <f t="shared" si="43"/>
        <v/>
      </c>
    </row>
    <row r="2728" spans="8:8" x14ac:dyDescent="0.25">
      <c r="H2728" s="10" t="str">
        <f t="shared" si="43"/>
        <v/>
      </c>
    </row>
    <row r="2729" spans="8:8" x14ac:dyDescent="0.25">
      <c r="H2729" s="10" t="str">
        <f t="shared" si="43"/>
        <v/>
      </c>
    </row>
    <row r="2730" spans="8:8" x14ac:dyDescent="0.25">
      <c r="H2730" s="10" t="str">
        <f t="shared" si="43"/>
        <v/>
      </c>
    </row>
    <row r="2731" spans="8:8" x14ac:dyDescent="0.25">
      <c r="H2731" s="10" t="str">
        <f t="shared" si="43"/>
        <v/>
      </c>
    </row>
    <row r="2732" spans="8:8" x14ac:dyDescent="0.25">
      <c r="H2732" s="10" t="str">
        <f t="shared" si="43"/>
        <v/>
      </c>
    </row>
    <row r="2733" spans="8:8" x14ac:dyDescent="0.25">
      <c r="H2733" s="10" t="str">
        <f t="shared" si="43"/>
        <v/>
      </c>
    </row>
    <row r="2734" spans="8:8" x14ac:dyDescent="0.25">
      <c r="H2734" s="10" t="str">
        <f t="shared" si="43"/>
        <v/>
      </c>
    </row>
    <row r="2735" spans="8:8" x14ac:dyDescent="0.25">
      <c r="H2735" s="10" t="str">
        <f t="shared" si="43"/>
        <v/>
      </c>
    </row>
    <row r="2736" spans="8:8" x14ac:dyDescent="0.25">
      <c r="H2736" s="10" t="str">
        <f t="shared" si="43"/>
        <v/>
      </c>
    </row>
    <row r="2737" spans="8:8" x14ac:dyDescent="0.25">
      <c r="H2737" s="10" t="str">
        <f t="shared" si="43"/>
        <v/>
      </c>
    </row>
    <row r="2738" spans="8:8" x14ac:dyDescent="0.25">
      <c r="H2738" s="10" t="str">
        <f t="shared" si="43"/>
        <v/>
      </c>
    </row>
    <row r="2739" spans="8:8" x14ac:dyDescent="0.25">
      <c r="H2739" s="10" t="str">
        <f t="shared" si="43"/>
        <v/>
      </c>
    </row>
    <row r="2740" spans="8:8" x14ac:dyDescent="0.25">
      <c r="H2740" s="10" t="str">
        <f t="shared" si="43"/>
        <v/>
      </c>
    </row>
    <row r="2741" spans="8:8" x14ac:dyDescent="0.25">
      <c r="H2741" s="10" t="str">
        <f t="shared" si="43"/>
        <v/>
      </c>
    </row>
    <row r="2742" spans="8:8" x14ac:dyDescent="0.25">
      <c r="H2742" s="10" t="str">
        <f t="shared" si="43"/>
        <v/>
      </c>
    </row>
    <row r="2743" spans="8:8" x14ac:dyDescent="0.25">
      <c r="H2743" s="10" t="str">
        <f t="shared" si="43"/>
        <v/>
      </c>
    </row>
    <row r="2744" spans="8:8" x14ac:dyDescent="0.25">
      <c r="H2744" s="10" t="str">
        <f t="shared" si="43"/>
        <v/>
      </c>
    </row>
    <row r="2745" spans="8:8" x14ac:dyDescent="0.25">
      <c r="H2745" s="10" t="str">
        <f t="shared" si="43"/>
        <v/>
      </c>
    </row>
    <row r="2746" spans="8:8" x14ac:dyDescent="0.25">
      <c r="H2746" s="10" t="str">
        <f t="shared" si="43"/>
        <v/>
      </c>
    </row>
    <row r="2747" spans="8:8" x14ac:dyDescent="0.25">
      <c r="H2747" s="10" t="str">
        <f t="shared" si="43"/>
        <v/>
      </c>
    </row>
    <row r="2748" spans="8:8" x14ac:dyDescent="0.25">
      <c r="H2748" s="10" t="str">
        <f t="shared" si="43"/>
        <v/>
      </c>
    </row>
    <row r="2749" spans="8:8" x14ac:dyDescent="0.25">
      <c r="H2749" s="10" t="str">
        <f t="shared" si="43"/>
        <v/>
      </c>
    </row>
    <row r="2750" spans="8:8" x14ac:dyDescent="0.25">
      <c r="H2750" s="10" t="str">
        <f t="shared" si="43"/>
        <v/>
      </c>
    </row>
    <row r="2751" spans="8:8" x14ac:dyDescent="0.25">
      <c r="H2751" s="10" t="str">
        <f t="shared" si="43"/>
        <v/>
      </c>
    </row>
    <row r="2752" spans="8:8" x14ac:dyDescent="0.25">
      <c r="H2752" s="10" t="str">
        <f t="shared" si="43"/>
        <v/>
      </c>
    </row>
    <row r="2753" spans="8:8" x14ac:dyDescent="0.25">
      <c r="H2753" s="10" t="str">
        <f t="shared" si="43"/>
        <v/>
      </c>
    </row>
    <row r="2754" spans="8:8" x14ac:dyDescent="0.25">
      <c r="H2754" s="10" t="str">
        <f t="shared" si="43"/>
        <v/>
      </c>
    </row>
    <row r="2755" spans="8:8" x14ac:dyDescent="0.25">
      <c r="H2755" s="10" t="str">
        <f t="shared" si="43"/>
        <v/>
      </c>
    </row>
    <row r="2756" spans="8:8" x14ac:dyDescent="0.25">
      <c r="H2756" s="10" t="str">
        <f t="shared" ref="H2756:H2819" si="44">IFERROR(DATEVALUE(C2756),"")</f>
        <v/>
      </c>
    </row>
    <row r="2757" spans="8:8" x14ac:dyDescent="0.25">
      <c r="H2757" s="10" t="str">
        <f t="shared" si="44"/>
        <v/>
      </c>
    </row>
    <row r="2758" spans="8:8" x14ac:dyDescent="0.25">
      <c r="H2758" s="10" t="str">
        <f t="shared" si="44"/>
        <v/>
      </c>
    </row>
    <row r="2759" spans="8:8" x14ac:dyDescent="0.25">
      <c r="H2759" s="10" t="str">
        <f t="shared" si="44"/>
        <v/>
      </c>
    </row>
    <row r="2760" spans="8:8" x14ac:dyDescent="0.25">
      <c r="H2760" s="10" t="str">
        <f t="shared" si="44"/>
        <v/>
      </c>
    </row>
    <row r="2761" spans="8:8" x14ac:dyDescent="0.25">
      <c r="H2761" s="10" t="str">
        <f t="shared" si="44"/>
        <v/>
      </c>
    </row>
    <row r="2762" spans="8:8" x14ac:dyDescent="0.25">
      <c r="H2762" s="10" t="str">
        <f t="shared" si="44"/>
        <v/>
      </c>
    </row>
    <row r="2763" spans="8:8" x14ac:dyDescent="0.25">
      <c r="H2763" s="10" t="str">
        <f t="shared" si="44"/>
        <v/>
      </c>
    </row>
    <row r="2764" spans="8:8" x14ac:dyDescent="0.25">
      <c r="H2764" s="10" t="str">
        <f t="shared" si="44"/>
        <v/>
      </c>
    </row>
    <row r="2765" spans="8:8" x14ac:dyDescent="0.25">
      <c r="H2765" s="10" t="str">
        <f t="shared" si="44"/>
        <v/>
      </c>
    </row>
    <row r="2766" spans="8:8" x14ac:dyDescent="0.25">
      <c r="H2766" s="10" t="str">
        <f t="shared" si="44"/>
        <v/>
      </c>
    </row>
    <row r="2767" spans="8:8" x14ac:dyDescent="0.25">
      <c r="H2767" s="10" t="str">
        <f t="shared" si="44"/>
        <v/>
      </c>
    </row>
    <row r="2768" spans="8:8" x14ac:dyDescent="0.25">
      <c r="H2768" s="10" t="str">
        <f t="shared" si="44"/>
        <v/>
      </c>
    </row>
    <row r="2769" spans="8:8" x14ac:dyDescent="0.25">
      <c r="H2769" s="10" t="str">
        <f t="shared" si="44"/>
        <v/>
      </c>
    </row>
    <row r="2770" spans="8:8" x14ac:dyDescent="0.25">
      <c r="H2770" s="10" t="str">
        <f t="shared" si="44"/>
        <v/>
      </c>
    </row>
    <row r="2771" spans="8:8" x14ac:dyDescent="0.25">
      <c r="H2771" s="10" t="str">
        <f t="shared" si="44"/>
        <v/>
      </c>
    </row>
    <row r="2772" spans="8:8" x14ac:dyDescent="0.25">
      <c r="H2772" s="10" t="str">
        <f t="shared" si="44"/>
        <v/>
      </c>
    </row>
    <row r="2773" spans="8:8" x14ac:dyDescent="0.25">
      <c r="H2773" s="10" t="str">
        <f t="shared" si="44"/>
        <v/>
      </c>
    </row>
    <row r="2774" spans="8:8" x14ac:dyDescent="0.25">
      <c r="H2774" s="10" t="str">
        <f t="shared" si="44"/>
        <v/>
      </c>
    </row>
    <row r="2775" spans="8:8" x14ac:dyDescent="0.25">
      <c r="H2775" s="10" t="str">
        <f t="shared" si="44"/>
        <v/>
      </c>
    </row>
    <row r="2776" spans="8:8" x14ac:dyDescent="0.25">
      <c r="H2776" s="10" t="str">
        <f t="shared" si="44"/>
        <v/>
      </c>
    </row>
    <row r="2777" spans="8:8" x14ac:dyDescent="0.25">
      <c r="H2777" s="10" t="str">
        <f t="shared" si="44"/>
        <v/>
      </c>
    </row>
    <row r="2778" spans="8:8" x14ac:dyDescent="0.25">
      <c r="H2778" s="10" t="str">
        <f t="shared" si="44"/>
        <v/>
      </c>
    </row>
    <row r="2779" spans="8:8" x14ac:dyDescent="0.25">
      <c r="H2779" s="10" t="str">
        <f t="shared" si="44"/>
        <v/>
      </c>
    </row>
    <row r="2780" spans="8:8" x14ac:dyDescent="0.25">
      <c r="H2780" s="10" t="str">
        <f t="shared" si="44"/>
        <v/>
      </c>
    </row>
    <row r="2781" spans="8:8" x14ac:dyDescent="0.25">
      <c r="H2781" s="10" t="str">
        <f t="shared" si="44"/>
        <v/>
      </c>
    </row>
    <row r="2782" spans="8:8" x14ac:dyDescent="0.25">
      <c r="H2782" s="10" t="str">
        <f t="shared" si="44"/>
        <v/>
      </c>
    </row>
    <row r="2783" spans="8:8" x14ac:dyDescent="0.25">
      <c r="H2783" s="10" t="str">
        <f t="shared" si="44"/>
        <v/>
      </c>
    </row>
    <row r="2784" spans="8:8" x14ac:dyDescent="0.25">
      <c r="H2784" s="10" t="str">
        <f t="shared" si="44"/>
        <v/>
      </c>
    </row>
    <row r="2785" spans="8:8" x14ac:dyDescent="0.25">
      <c r="H2785" s="10" t="str">
        <f t="shared" si="44"/>
        <v/>
      </c>
    </row>
    <row r="2786" spans="8:8" x14ac:dyDescent="0.25">
      <c r="H2786" s="10" t="str">
        <f t="shared" si="44"/>
        <v/>
      </c>
    </row>
    <row r="2787" spans="8:8" x14ac:dyDescent="0.25">
      <c r="H2787" s="10" t="str">
        <f t="shared" si="44"/>
        <v/>
      </c>
    </row>
    <row r="2788" spans="8:8" x14ac:dyDescent="0.25">
      <c r="H2788" s="10" t="str">
        <f t="shared" si="44"/>
        <v/>
      </c>
    </row>
    <row r="2789" spans="8:8" x14ac:dyDescent="0.25">
      <c r="H2789" s="10" t="str">
        <f t="shared" si="44"/>
        <v/>
      </c>
    </row>
    <row r="2790" spans="8:8" x14ac:dyDescent="0.25">
      <c r="H2790" s="10" t="str">
        <f t="shared" si="44"/>
        <v/>
      </c>
    </row>
    <row r="2791" spans="8:8" x14ac:dyDescent="0.25">
      <c r="H2791" s="10" t="str">
        <f t="shared" si="44"/>
        <v/>
      </c>
    </row>
    <row r="2792" spans="8:8" x14ac:dyDescent="0.25">
      <c r="H2792" s="10" t="str">
        <f t="shared" si="44"/>
        <v/>
      </c>
    </row>
    <row r="2793" spans="8:8" x14ac:dyDescent="0.25">
      <c r="H2793" s="10" t="str">
        <f t="shared" si="44"/>
        <v/>
      </c>
    </row>
    <row r="2794" spans="8:8" x14ac:dyDescent="0.25">
      <c r="H2794" s="10" t="str">
        <f t="shared" si="44"/>
        <v/>
      </c>
    </row>
    <row r="2795" spans="8:8" x14ac:dyDescent="0.25">
      <c r="H2795" s="10" t="str">
        <f t="shared" si="44"/>
        <v/>
      </c>
    </row>
    <row r="2796" spans="8:8" x14ac:dyDescent="0.25">
      <c r="H2796" s="10" t="str">
        <f t="shared" si="44"/>
        <v/>
      </c>
    </row>
    <row r="2797" spans="8:8" x14ac:dyDescent="0.25">
      <c r="H2797" s="10" t="str">
        <f t="shared" si="44"/>
        <v/>
      </c>
    </row>
    <row r="2798" spans="8:8" x14ac:dyDescent="0.25">
      <c r="H2798" s="10" t="str">
        <f t="shared" si="44"/>
        <v/>
      </c>
    </row>
    <row r="2799" spans="8:8" x14ac:dyDescent="0.25">
      <c r="H2799" s="10" t="str">
        <f t="shared" si="44"/>
        <v/>
      </c>
    </row>
    <row r="2800" spans="8:8" x14ac:dyDescent="0.25">
      <c r="H2800" s="10" t="str">
        <f t="shared" si="44"/>
        <v/>
      </c>
    </row>
    <row r="2801" spans="8:8" x14ac:dyDescent="0.25">
      <c r="H2801" s="10" t="str">
        <f t="shared" si="44"/>
        <v/>
      </c>
    </row>
    <row r="2802" spans="8:8" x14ac:dyDescent="0.25">
      <c r="H2802" s="10" t="str">
        <f t="shared" si="44"/>
        <v/>
      </c>
    </row>
    <row r="2803" spans="8:8" x14ac:dyDescent="0.25">
      <c r="H2803" s="10" t="str">
        <f t="shared" si="44"/>
        <v/>
      </c>
    </row>
    <row r="2804" spans="8:8" x14ac:dyDescent="0.25">
      <c r="H2804" s="10" t="str">
        <f t="shared" si="44"/>
        <v/>
      </c>
    </row>
    <row r="2805" spans="8:8" x14ac:dyDescent="0.25">
      <c r="H2805" s="10" t="str">
        <f t="shared" si="44"/>
        <v/>
      </c>
    </row>
    <row r="2806" spans="8:8" x14ac:dyDescent="0.25">
      <c r="H2806" s="10" t="str">
        <f t="shared" si="44"/>
        <v/>
      </c>
    </row>
    <row r="2807" spans="8:8" x14ac:dyDescent="0.25">
      <c r="H2807" s="10" t="str">
        <f t="shared" si="44"/>
        <v/>
      </c>
    </row>
    <row r="2808" spans="8:8" x14ac:dyDescent="0.25">
      <c r="H2808" s="10" t="str">
        <f t="shared" si="44"/>
        <v/>
      </c>
    </row>
    <row r="2809" spans="8:8" x14ac:dyDescent="0.25">
      <c r="H2809" s="10" t="str">
        <f t="shared" si="44"/>
        <v/>
      </c>
    </row>
    <row r="2810" spans="8:8" x14ac:dyDescent="0.25">
      <c r="H2810" s="10" t="str">
        <f t="shared" si="44"/>
        <v/>
      </c>
    </row>
    <row r="2811" spans="8:8" x14ac:dyDescent="0.25">
      <c r="H2811" s="10" t="str">
        <f t="shared" si="44"/>
        <v/>
      </c>
    </row>
    <row r="2812" spans="8:8" x14ac:dyDescent="0.25">
      <c r="H2812" s="10" t="str">
        <f t="shared" si="44"/>
        <v/>
      </c>
    </row>
    <row r="2813" spans="8:8" x14ac:dyDescent="0.25">
      <c r="H2813" s="10" t="str">
        <f t="shared" si="44"/>
        <v/>
      </c>
    </row>
    <row r="2814" spans="8:8" x14ac:dyDescent="0.25">
      <c r="H2814" s="10" t="str">
        <f t="shared" si="44"/>
        <v/>
      </c>
    </row>
    <row r="2815" spans="8:8" x14ac:dyDescent="0.25">
      <c r="H2815" s="10" t="str">
        <f t="shared" si="44"/>
        <v/>
      </c>
    </row>
    <row r="2816" spans="8:8" x14ac:dyDescent="0.25">
      <c r="H2816" s="10" t="str">
        <f t="shared" si="44"/>
        <v/>
      </c>
    </row>
    <row r="2817" spans="8:8" x14ac:dyDescent="0.25">
      <c r="H2817" s="10" t="str">
        <f t="shared" si="44"/>
        <v/>
      </c>
    </row>
    <row r="2818" spans="8:8" x14ac:dyDescent="0.25">
      <c r="H2818" s="10" t="str">
        <f t="shared" si="44"/>
        <v/>
      </c>
    </row>
    <row r="2819" spans="8:8" x14ac:dyDescent="0.25">
      <c r="H2819" s="10" t="str">
        <f t="shared" si="44"/>
        <v/>
      </c>
    </row>
    <row r="2820" spans="8:8" x14ac:dyDescent="0.25">
      <c r="H2820" s="10" t="str">
        <f t="shared" ref="H2820:H2883" si="45">IFERROR(DATEVALUE(C2820),"")</f>
        <v/>
      </c>
    </row>
    <row r="2821" spans="8:8" x14ac:dyDescent="0.25">
      <c r="H2821" s="10" t="str">
        <f t="shared" si="45"/>
        <v/>
      </c>
    </row>
    <row r="2822" spans="8:8" x14ac:dyDescent="0.25">
      <c r="H2822" s="10" t="str">
        <f t="shared" si="45"/>
        <v/>
      </c>
    </row>
    <row r="2823" spans="8:8" x14ac:dyDescent="0.25">
      <c r="H2823" s="10" t="str">
        <f t="shared" si="45"/>
        <v/>
      </c>
    </row>
    <row r="2824" spans="8:8" x14ac:dyDescent="0.25">
      <c r="H2824" s="10" t="str">
        <f t="shared" si="45"/>
        <v/>
      </c>
    </row>
    <row r="2825" spans="8:8" x14ac:dyDescent="0.25">
      <c r="H2825" s="10" t="str">
        <f t="shared" si="45"/>
        <v/>
      </c>
    </row>
    <row r="2826" spans="8:8" x14ac:dyDescent="0.25">
      <c r="H2826" s="10" t="str">
        <f t="shared" si="45"/>
        <v/>
      </c>
    </row>
    <row r="2827" spans="8:8" x14ac:dyDescent="0.25">
      <c r="H2827" s="10" t="str">
        <f t="shared" si="45"/>
        <v/>
      </c>
    </row>
    <row r="2828" spans="8:8" x14ac:dyDescent="0.25">
      <c r="H2828" s="10" t="str">
        <f t="shared" si="45"/>
        <v/>
      </c>
    </row>
    <row r="2829" spans="8:8" x14ac:dyDescent="0.25">
      <c r="H2829" s="10" t="str">
        <f t="shared" si="45"/>
        <v/>
      </c>
    </row>
    <row r="2830" spans="8:8" x14ac:dyDescent="0.25">
      <c r="H2830" s="10" t="str">
        <f t="shared" si="45"/>
        <v/>
      </c>
    </row>
    <row r="2831" spans="8:8" x14ac:dyDescent="0.25">
      <c r="H2831" s="10" t="str">
        <f t="shared" si="45"/>
        <v/>
      </c>
    </row>
    <row r="2832" spans="8:8" x14ac:dyDescent="0.25">
      <c r="H2832" s="10" t="str">
        <f t="shared" si="45"/>
        <v/>
      </c>
    </row>
    <row r="2833" spans="8:8" x14ac:dyDescent="0.25">
      <c r="H2833" s="10" t="str">
        <f t="shared" si="45"/>
        <v/>
      </c>
    </row>
    <row r="2834" spans="8:8" x14ac:dyDescent="0.25">
      <c r="H2834" s="10" t="str">
        <f t="shared" si="45"/>
        <v/>
      </c>
    </row>
    <row r="2835" spans="8:8" x14ac:dyDescent="0.25">
      <c r="H2835" s="10" t="str">
        <f t="shared" si="45"/>
        <v/>
      </c>
    </row>
    <row r="2836" spans="8:8" x14ac:dyDescent="0.25">
      <c r="H2836" s="10" t="str">
        <f t="shared" si="45"/>
        <v/>
      </c>
    </row>
    <row r="2837" spans="8:8" x14ac:dyDescent="0.25">
      <c r="H2837" s="10" t="str">
        <f t="shared" si="45"/>
        <v/>
      </c>
    </row>
    <row r="2838" spans="8:8" x14ac:dyDescent="0.25">
      <c r="H2838" s="10" t="str">
        <f t="shared" si="45"/>
        <v/>
      </c>
    </row>
    <row r="2839" spans="8:8" x14ac:dyDescent="0.25">
      <c r="H2839" s="10" t="str">
        <f t="shared" si="45"/>
        <v/>
      </c>
    </row>
    <row r="2840" spans="8:8" x14ac:dyDescent="0.25">
      <c r="H2840" s="10" t="str">
        <f t="shared" si="45"/>
        <v/>
      </c>
    </row>
    <row r="2841" spans="8:8" x14ac:dyDescent="0.25">
      <c r="H2841" s="10" t="str">
        <f t="shared" si="45"/>
        <v/>
      </c>
    </row>
    <row r="2842" spans="8:8" x14ac:dyDescent="0.25">
      <c r="H2842" s="10" t="str">
        <f t="shared" si="45"/>
        <v/>
      </c>
    </row>
    <row r="2843" spans="8:8" x14ac:dyDescent="0.25">
      <c r="H2843" s="10" t="str">
        <f t="shared" si="45"/>
        <v/>
      </c>
    </row>
    <row r="2844" spans="8:8" x14ac:dyDescent="0.25">
      <c r="H2844" s="10" t="str">
        <f t="shared" si="45"/>
        <v/>
      </c>
    </row>
    <row r="2845" spans="8:8" x14ac:dyDescent="0.25">
      <c r="H2845" s="10" t="str">
        <f t="shared" si="45"/>
        <v/>
      </c>
    </row>
    <row r="2846" spans="8:8" x14ac:dyDescent="0.25">
      <c r="H2846" s="10" t="str">
        <f t="shared" si="45"/>
        <v/>
      </c>
    </row>
    <row r="2847" spans="8:8" x14ac:dyDescent="0.25">
      <c r="H2847" s="10" t="str">
        <f t="shared" si="45"/>
        <v/>
      </c>
    </row>
    <row r="2848" spans="8:8" x14ac:dyDescent="0.25">
      <c r="H2848" s="10" t="str">
        <f t="shared" si="45"/>
        <v/>
      </c>
    </row>
    <row r="2849" spans="8:8" x14ac:dyDescent="0.25">
      <c r="H2849" s="10" t="str">
        <f t="shared" si="45"/>
        <v/>
      </c>
    </row>
    <row r="2850" spans="8:8" x14ac:dyDescent="0.25">
      <c r="H2850" s="10" t="str">
        <f t="shared" si="45"/>
        <v/>
      </c>
    </row>
    <row r="2851" spans="8:8" x14ac:dyDescent="0.25">
      <c r="H2851" s="10" t="str">
        <f t="shared" si="45"/>
        <v/>
      </c>
    </row>
    <row r="2852" spans="8:8" x14ac:dyDescent="0.25">
      <c r="H2852" s="10" t="str">
        <f t="shared" si="45"/>
        <v/>
      </c>
    </row>
    <row r="2853" spans="8:8" x14ac:dyDescent="0.25">
      <c r="H2853" s="10" t="str">
        <f t="shared" si="45"/>
        <v/>
      </c>
    </row>
    <row r="2854" spans="8:8" x14ac:dyDescent="0.25">
      <c r="H2854" s="10" t="str">
        <f t="shared" si="45"/>
        <v/>
      </c>
    </row>
    <row r="2855" spans="8:8" x14ac:dyDescent="0.25">
      <c r="H2855" s="10" t="str">
        <f t="shared" si="45"/>
        <v/>
      </c>
    </row>
    <row r="2856" spans="8:8" x14ac:dyDescent="0.25">
      <c r="H2856" s="10" t="str">
        <f t="shared" si="45"/>
        <v/>
      </c>
    </row>
    <row r="2857" spans="8:8" x14ac:dyDescent="0.25">
      <c r="H2857" s="10" t="str">
        <f t="shared" si="45"/>
        <v/>
      </c>
    </row>
    <row r="2858" spans="8:8" x14ac:dyDescent="0.25">
      <c r="H2858" s="10" t="str">
        <f t="shared" si="45"/>
        <v/>
      </c>
    </row>
    <row r="2859" spans="8:8" x14ac:dyDescent="0.25">
      <c r="H2859" s="10" t="str">
        <f t="shared" si="45"/>
        <v/>
      </c>
    </row>
    <row r="2860" spans="8:8" x14ac:dyDescent="0.25">
      <c r="H2860" s="10" t="str">
        <f t="shared" si="45"/>
        <v/>
      </c>
    </row>
    <row r="2861" spans="8:8" x14ac:dyDescent="0.25">
      <c r="H2861" s="10" t="str">
        <f t="shared" si="45"/>
        <v/>
      </c>
    </row>
    <row r="2862" spans="8:8" x14ac:dyDescent="0.25">
      <c r="H2862" s="10" t="str">
        <f t="shared" si="45"/>
        <v/>
      </c>
    </row>
    <row r="2863" spans="8:8" x14ac:dyDescent="0.25">
      <c r="H2863" s="10" t="str">
        <f t="shared" si="45"/>
        <v/>
      </c>
    </row>
    <row r="2864" spans="8:8" x14ac:dyDescent="0.25">
      <c r="H2864" s="10" t="str">
        <f t="shared" si="45"/>
        <v/>
      </c>
    </row>
    <row r="2865" spans="8:8" x14ac:dyDescent="0.25">
      <c r="H2865" s="10" t="str">
        <f t="shared" si="45"/>
        <v/>
      </c>
    </row>
    <row r="2866" spans="8:8" x14ac:dyDescent="0.25">
      <c r="H2866" s="10" t="str">
        <f t="shared" si="45"/>
        <v/>
      </c>
    </row>
    <row r="2867" spans="8:8" x14ac:dyDescent="0.25">
      <c r="H2867" s="10" t="str">
        <f t="shared" si="45"/>
        <v/>
      </c>
    </row>
    <row r="2868" spans="8:8" x14ac:dyDescent="0.25">
      <c r="H2868" s="10" t="str">
        <f t="shared" si="45"/>
        <v/>
      </c>
    </row>
    <row r="2869" spans="8:8" x14ac:dyDescent="0.25">
      <c r="H2869" s="10" t="str">
        <f t="shared" si="45"/>
        <v/>
      </c>
    </row>
    <row r="2870" spans="8:8" x14ac:dyDescent="0.25">
      <c r="H2870" s="10" t="str">
        <f t="shared" si="45"/>
        <v/>
      </c>
    </row>
    <row r="2871" spans="8:8" x14ac:dyDescent="0.25">
      <c r="H2871" s="10" t="str">
        <f t="shared" si="45"/>
        <v/>
      </c>
    </row>
    <row r="2872" spans="8:8" x14ac:dyDescent="0.25">
      <c r="H2872" s="10" t="str">
        <f t="shared" si="45"/>
        <v/>
      </c>
    </row>
    <row r="2873" spans="8:8" x14ac:dyDescent="0.25">
      <c r="H2873" s="10" t="str">
        <f t="shared" si="45"/>
        <v/>
      </c>
    </row>
    <row r="2874" spans="8:8" x14ac:dyDescent="0.25">
      <c r="H2874" s="10" t="str">
        <f t="shared" si="45"/>
        <v/>
      </c>
    </row>
    <row r="2875" spans="8:8" x14ac:dyDescent="0.25">
      <c r="H2875" s="10" t="str">
        <f t="shared" si="45"/>
        <v/>
      </c>
    </row>
    <row r="2876" spans="8:8" x14ac:dyDescent="0.25">
      <c r="H2876" s="10" t="str">
        <f t="shared" si="45"/>
        <v/>
      </c>
    </row>
    <row r="2877" spans="8:8" x14ac:dyDescent="0.25">
      <c r="H2877" s="10" t="str">
        <f t="shared" si="45"/>
        <v/>
      </c>
    </row>
    <row r="2878" spans="8:8" x14ac:dyDescent="0.25">
      <c r="H2878" s="10" t="str">
        <f t="shared" si="45"/>
        <v/>
      </c>
    </row>
    <row r="2879" spans="8:8" x14ac:dyDescent="0.25">
      <c r="H2879" s="10" t="str">
        <f t="shared" si="45"/>
        <v/>
      </c>
    </row>
    <row r="2880" spans="8:8" x14ac:dyDescent="0.25">
      <c r="H2880" s="10" t="str">
        <f t="shared" si="45"/>
        <v/>
      </c>
    </row>
    <row r="2881" spans="8:8" x14ac:dyDescent="0.25">
      <c r="H2881" s="10" t="str">
        <f t="shared" si="45"/>
        <v/>
      </c>
    </row>
    <row r="2882" spans="8:8" x14ac:dyDescent="0.25">
      <c r="H2882" s="10" t="str">
        <f t="shared" si="45"/>
        <v/>
      </c>
    </row>
    <row r="2883" spans="8:8" x14ac:dyDescent="0.25">
      <c r="H2883" s="10" t="str">
        <f t="shared" si="45"/>
        <v/>
      </c>
    </row>
    <row r="2884" spans="8:8" x14ac:dyDescent="0.25">
      <c r="H2884" s="10" t="str">
        <f t="shared" ref="H2884:H2947" si="46">IFERROR(DATEVALUE(C2884),"")</f>
        <v/>
      </c>
    </row>
    <row r="2885" spans="8:8" x14ac:dyDescent="0.25">
      <c r="H2885" s="10" t="str">
        <f t="shared" si="46"/>
        <v/>
      </c>
    </row>
    <row r="2886" spans="8:8" x14ac:dyDescent="0.25">
      <c r="H2886" s="10" t="str">
        <f t="shared" si="46"/>
        <v/>
      </c>
    </row>
    <row r="2887" spans="8:8" x14ac:dyDescent="0.25">
      <c r="H2887" s="10" t="str">
        <f t="shared" si="46"/>
        <v/>
      </c>
    </row>
    <row r="2888" spans="8:8" x14ac:dyDescent="0.25">
      <c r="H2888" s="10" t="str">
        <f t="shared" si="46"/>
        <v/>
      </c>
    </row>
    <row r="2889" spans="8:8" x14ac:dyDescent="0.25">
      <c r="H2889" s="10" t="str">
        <f t="shared" si="46"/>
        <v/>
      </c>
    </row>
    <row r="2890" spans="8:8" x14ac:dyDescent="0.25">
      <c r="H2890" s="10" t="str">
        <f t="shared" si="46"/>
        <v/>
      </c>
    </row>
    <row r="2891" spans="8:8" x14ac:dyDescent="0.25">
      <c r="H2891" s="10" t="str">
        <f t="shared" si="46"/>
        <v/>
      </c>
    </row>
    <row r="2892" spans="8:8" x14ac:dyDescent="0.25">
      <c r="H2892" s="10" t="str">
        <f t="shared" si="46"/>
        <v/>
      </c>
    </row>
    <row r="2893" spans="8:8" x14ac:dyDescent="0.25">
      <c r="H2893" s="10" t="str">
        <f t="shared" si="46"/>
        <v/>
      </c>
    </row>
    <row r="2894" spans="8:8" x14ac:dyDescent="0.25">
      <c r="H2894" s="10" t="str">
        <f t="shared" si="46"/>
        <v/>
      </c>
    </row>
    <row r="2895" spans="8:8" x14ac:dyDescent="0.25">
      <c r="H2895" s="10" t="str">
        <f t="shared" si="46"/>
        <v/>
      </c>
    </row>
    <row r="2896" spans="8:8" x14ac:dyDescent="0.25">
      <c r="H2896" s="10" t="str">
        <f t="shared" si="46"/>
        <v/>
      </c>
    </row>
    <row r="2897" spans="8:8" x14ac:dyDescent="0.25">
      <c r="H2897" s="10" t="str">
        <f t="shared" si="46"/>
        <v/>
      </c>
    </row>
    <row r="2898" spans="8:8" x14ac:dyDescent="0.25">
      <c r="H2898" s="10" t="str">
        <f t="shared" si="46"/>
        <v/>
      </c>
    </row>
    <row r="2899" spans="8:8" x14ac:dyDescent="0.25">
      <c r="H2899" s="10" t="str">
        <f t="shared" si="46"/>
        <v/>
      </c>
    </row>
    <row r="2900" spans="8:8" x14ac:dyDescent="0.25">
      <c r="H2900" s="10" t="str">
        <f t="shared" si="46"/>
        <v/>
      </c>
    </row>
    <row r="2901" spans="8:8" x14ac:dyDescent="0.25">
      <c r="H2901" s="10" t="str">
        <f t="shared" si="46"/>
        <v/>
      </c>
    </row>
    <row r="2902" spans="8:8" x14ac:dyDescent="0.25">
      <c r="H2902" s="10" t="str">
        <f t="shared" si="46"/>
        <v/>
      </c>
    </row>
    <row r="2903" spans="8:8" x14ac:dyDescent="0.25">
      <c r="H2903" s="10" t="str">
        <f t="shared" si="46"/>
        <v/>
      </c>
    </row>
    <row r="2904" spans="8:8" x14ac:dyDescent="0.25">
      <c r="H2904" s="10" t="str">
        <f t="shared" si="46"/>
        <v/>
      </c>
    </row>
    <row r="2905" spans="8:8" x14ac:dyDescent="0.25">
      <c r="H2905" s="10" t="str">
        <f t="shared" si="46"/>
        <v/>
      </c>
    </row>
    <row r="2906" spans="8:8" x14ac:dyDescent="0.25">
      <c r="H2906" s="10" t="str">
        <f t="shared" si="46"/>
        <v/>
      </c>
    </row>
    <row r="2907" spans="8:8" x14ac:dyDescent="0.25">
      <c r="H2907" s="10" t="str">
        <f t="shared" si="46"/>
        <v/>
      </c>
    </row>
    <row r="2908" spans="8:8" x14ac:dyDescent="0.25">
      <c r="H2908" s="10" t="str">
        <f t="shared" si="46"/>
        <v/>
      </c>
    </row>
    <row r="2909" spans="8:8" x14ac:dyDescent="0.25">
      <c r="H2909" s="10" t="str">
        <f t="shared" si="46"/>
        <v/>
      </c>
    </row>
    <row r="2910" spans="8:8" x14ac:dyDescent="0.25">
      <c r="H2910" s="10" t="str">
        <f t="shared" si="46"/>
        <v/>
      </c>
    </row>
    <row r="2911" spans="8:8" x14ac:dyDescent="0.25">
      <c r="H2911" s="10" t="str">
        <f t="shared" si="46"/>
        <v/>
      </c>
    </row>
    <row r="2912" spans="8:8" x14ac:dyDescent="0.25">
      <c r="H2912" s="10" t="str">
        <f t="shared" si="46"/>
        <v/>
      </c>
    </row>
    <row r="2913" spans="8:8" x14ac:dyDescent="0.25">
      <c r="H2913" s="10" t="str">
        <f t="shared" si="46"/>
        <v/>
      </c>
    </row>
    <row r="2914" spans="8:8" x14ac:dyDescent="0.25">
      <c r="H2914" s="10" t="str">
        <f t="shared" si="46"/>
        <v/>
      </c>
    </row>
    <row r="2915" spans="8:8" x14ac:dyDescent="0.25">
      <c r="H2915" s="10" t="str">
        <f t="shared" si="46"/>
        <v/>
      </c>
    </row>
    <row r="2916" spans="8:8" x14ac:dyDescent="0.25">
      <c r="H2916" s="10" t="str">
        <f t="shared" si="46"/>
        <v/>
      </c>
    </row>
    <row r="2917" spans="8:8" x14ac:dyDescent="0.25">
      <c r="H2917" s="10" t="str">
        <f t="shared" si="46"/>
        <v/>
      </c>
    </row>
    <row r="2918" spans="8:8" x14ac:dyDescent="0.25">
      <c r="H2918" s="10" t="str">
        <f t="shared" si="46"/>
        <v/>
      </c>
    </row>
    <row r="2919" spans="8:8" x14ac:dyDescent="0.25">
      <c r="H2919" s="10" t="str">
        <f t="shared" si="46"/>
        <v/>
      </c>
    </row>
    <row r="2920" spans="8:8" x14ac:dyDescent="0.25">
      <c r="H2920" s="10" t="str">
        <f t="shared" si="46"/>
        <v/>
      </c>
    </row>
    <row r="2921" spans="8:8" x14ac:dyDescent="0.25">
      <c r="H2921" s="10" t="str">
        <f t="shared" si="46"/>
        <v/>
      </c>
    </row>
    <row r="2922" spans="8:8" x14ac:dyDescent="0.25">
      <c r="H2922" s="10" t="str">
        <f t="shared" si="46"/>
        <v/>
      </c>
    </row>
    <row r="2923" spans="8:8" x14ac:dyDescent="0.25">
      <c r="H2923" s="10" t="str">
        <f t="shared" si="46"/>
        <v/>
      </c>
    </row>
    <row r="2924" spans="8:8" x14ac:dyDescent="0.25">
      <c r="H2924" s="10" t="str">
        <f t="shared" si="46"/>
        <v/>
      </c>
    </row>
    <row r="2925" spans="8:8" x14ac:dyDescent="0.25">
      <c r="H2925" s="10" t="str">
        <f t="shared" si="46"/>
        <v/>
      </c>
    </row>
    <row r="2926" spans="8:8" x14ac:dyDescent="0.25">
      <c r="H2926" s="10" t="str">
        <f t="shared" si="46"/>
        <v/>
      </c>
    </row>
    <row r="2927" spans="8:8" x14ac:dyDescent="0.25">
      <c r="H2927" s="10" t="str">
        <f t="shared" si="46"/>
        <v/>
      </c>
    </row>
    <row r="2928" spans="8:8" x14ac:dyDescent="0.25">
      <c r="H2928" s="10" t="str">
        <f t="shared" si="46"/>
        <v/>
      </c>
    </row>
    <row r="2929" spans="8:8" x14ac:dyDescent="0.25">
      <c r="H2929" s="10" t="str">
        <f t="shared" si="46"/>
        <v/>
      </c>
    </row>
    <row r="2930" spans="8:8" x14ac:dyDescent="0.25">
      <c r="H2930" s="10" t="str">
        <f t="shared" si="46"/>
        <v/>
      </c>
    </row>
    <row r="2931" spans="8:8" x14ac:dyDescent="0.25">
      <c r="H2931" s="10" t="str">
        <f t="shared" si="46"/>
        <v/>
      </c>
    </row>
    <row r="2932" spans="8:8" x14ac:dyDescent="0.25">
      <c r="H2932" s="10" t="str">
        <f t="shared" si="46"/>
        <v/>
      </c>
    </row>
    <row r="2933" spans="8:8" x14ac:dyDescent="0.25">
      <c r="H2933" s="10" t="str">
        <f t="shared" si="46"/>
        <v/>
      </c>
    </row>
    <row r="2934" spans="8:8" x14ac:dyDescent="0.25">
      <c r="H2934" s="10" t="str">
        <f t="shared" si="46"/>
        <v/>
      </c>
    </row>
    <row r="2935" spans="8:8" x14ac:dyDescent="0.25">
      <c r="H2935" s="10" t="str">
        <f t="shared" si="46"/>
        <v/>
      </c>
    </row>
    <row r="2936" spans="8:8" x14ac:dyDescent="0.25">
      <c r="H2936" s="10" t="str">
        <f t="shared" si="46"/>
        <v/>
      </c>
    </row>
    <row r="2937" spans="8:8" x14ac:dyDescent="0.25">
      <c r="H2937" s="10" t="str">
        <f t="shared" si="46"/>
        <v/>
      </c>
    </row>
    <row r="2938" spans="8:8" x14ac:dyDescent="0.25">
      <c r="H2938" s="10" t="str">
        <f t="shared" si="46"/>
        <v/>
      </c>
    </row>
    <row r="2939" spans="8:8" x14ac:dyDescent="0.25">
      <c r="H2939" s="10" t="str">
        <f t="shared" si="46"/>
        <v/>
      </c>
    </row>
    <row r="2940" spans="8:8" x14ac:dyDescent="0.25">
      <c r="H2940" s="10" t="str">
        <f t="shared" si="46"/>
        <v/>
      </c>
    </row>
    <row r="2941" spans="8:8" x14ac:dyDescent="0.25">
      <c r="H2941" s="10" t="str">
        <f t="shared" si="46"/>
        <v/>
      </c>
    </row>
    <row r="2942" spans="8:8" x14ac:dyDescent="0.25">
      <c r="H2942" s="10" t="str">
        <f t="shared" si="46"/>
        <v/>
      </c>
    </row>
    <row r="2943" spans="8:8" x14ac:dyDescent="0.25">
      <c r="H2943" s="10" t="str">
        <f t="shared" si="46"/>
        <v/>
      </c>
    </row>
    <row r="2944" spans="8:8" x14ac:dyDescent="0.25">
      <c r="H2944" s="10" t="str">
        <f t="shared" si="46"/>
        <v/>
      </c>
    </row>
    <row r="2945" spans="8:8" x14ac:dyDescent="0.25">
      <c r="H2945" s="10" t="str">
        <f t="shared" si="46"/>
        <v/>
      </c>
    </row>
    <row r="2946" spans="8:8" x14ac:dyDescent="0.25">
      <c r="H2946" s="10" t="str">
        <f t="shared" si="46"/>
        <v/>
      </c>
    </row>
    <row r="2947" spans="8:8" x14ac:dyDescent="0.25">
      <c r="H2947" s="10" t="str">
        <f t="shared" si="46"/>
        <v/>
      </c>
    </row>
    <row r="2948" spans="8:8" x14ac:dyDescent="0.25">
      <c r="H2948" s="10" t="str">
        <f t="shared" ref="H2948:H3000" si="47">IFERROR(DATEVALUE(C2948),"")</f>
        <v/>
      </c>
    </row>
    <row r="2949" spans="8:8" x14ac:dyDescent="0.25">
      <c r="H2949" s="10" t="str">
        <f t="shared" si="47"/>
        <v/>
      </c>
    </row>
    <row r="2950" spans="8:8" x14ac:dyDescent="0.25">
      <c r="H2950" s="10" t="str">
        <f t="shared" si="47"/>
        <v/>
      </c>
    </row>
    <row r="2951" spans="8:8" x14ac:dyDescent="0.25">
      <c r="H2951" s="10" t="str">
        <f t="shared" si="47"/>
        <v/>
      </c>
    </row>
    <row r="2952" spans="8:8" x14ac:dyDescent="0.25">
      <c r="H2952" s="10" t="str">
        <f t="shared" si="47"/>
        <v/>
      </c>
    </row>
    <row r="2953" spans="8:8" x14ac:dyDescent="0.25">
      <c r="H2953" s="10" t="str">
        <f t="shared" si="47"/>
        <v/>
      </c>
    </row>
    <row r="2954" spans="8:8" x14ac:dyDescent="0.25">
      <c r="H2954" s="10" t="str">
        <f t="shared" si="47"/>
        <v/>
      </c>
    </row>
    <row r="2955" spans="8:8" x14ac:dyDescent="0.25">
      <c r="H2955" s="10" t="str">
        <f t="shared" si="47"/>
        <v/>
      </c>
    </row>
    <row r="2956" spans="8:8" x14ac:dyDescent="0.25">
      <c r="H2956" s="10" t="str">
        <f t="shared" si="47"/>
        <v/>
      </c>
    </row>
    <row r="2957" spans="8:8" x14ac:dyDescent="0.25">
      <c r="H2957" s="10" t="str">
        <f t="shared" si="47"/>
        <v/>
      </c>
    </row>
    <row r="2958" spans="8:8" x14ac:dyDescent="0.25">
      <c r="H2958" s="10" t="str">
        <f t="shared" si="47"/>
        <v/>
      </c>
    </row>
    <row r="2959" spans="8:8" x14ac:dyDescent="0.25">
      <c r="H2959" s="10" t="str">
        <f t="shared" si="47"/>
        <v/>
      </c>
    </row>
    <row r="2960" spans="8:8" x14ac:dyDescent="0.25">
      <c r="H2960" s="10" t="str">
        <f t="shared" si="47"/>
        <v/>
      </c>
    </row>
    <row r="2961" spans="8:8" x14ac:dyDescent="0.25">
      <c r="H2961" s="10" t="str">
        <f t="shared" si="47"/>
        <v/>
      </c>
    </row>
    <row r="2962" spans="8:8" x14ac:dyDescent="0.25">
      <c r="H2962" s="10" t="str">
        <f t="shared" si="47"/>
        <v/>
      </c>
    </row>
    <row r="2963" spans="8:8" x14ac:dyDescent="0.25">
      <c r="H2963" s="10" t="str">
        <f t="shared" si="47"/>
        <v/>
      </c>
    </row>
    <row r="2964" spans="8:8" x14ac:dyDescent="0.25">
      <c r="H2964" s="10" t="str">
        <f t="shared" si="47"/>
        <v/>
      </c>
    </row>
    <row r="2965" spans="8:8" x14ac:dyDescent="0.25">
      <c r="H2965" s="10" t="str">
        <f t="shared" si="47"/>
        <v/>
      </c>
    </row>
    <row r="2966" spans="8:8" x14ac:dyDescent="0.25">
      <c r="H2966" s="10" t="str">
        <f t="shared" si="47"/>
        <v/>
      </c>
    </row>
    <row r="2967" spans="8:8" x14ac:dyDescent="0.25">
      <c r="H2967" s="10" t="str">
        <f t="shared" si="47"/>
        <v/>
      </c>
    </row>
    <row r="2968" spans="8:8" x14ac:dyDescent="0.25">
      <c r="H2968" s="10" t="str">
        <f t="shared" si="47"/>
        <v/>
      </c>
    </row>
    <row r="2969" spans="8:8" x14ac:dyDescent="0.25">
      <c r="H2969" s="10" t="str">
        <f t="shared" si="47"/>
        <v/>
      </c>
    </row>
    <row r="2970" spans="8:8" x14ac:dyDescent="0.25">
      <c r="H2970" s="10" t="str">
        <f t="shared" si="47"/>
        <v/>
      </c>
    </row>
    <row r="2971" spans="8:8" x14ac:dyDescent="0.25">
      <c r="H2971" s="10" t="str">
        <f t="shared" si="47"/>
        <v/>
      </c>
    </row>
    <row r="2972" spans="8:8" x14ac:dyDescent="0.25">
      <c r="H2972" s="10" t="str">
        <f t="shared" si="47"/>
        <v/>
      </c>
    </row>
    <row r="2973" spans="8:8" x14ac:dyDescent="0.25">
      <c r="H2973" s="10" t="str">
        <f t="shared" si="47"/>
        <v/>
      </c>
    </row>
    <row r="2974" spans="8:8" x14ac:dyDescent="0.25">
      <c r="H2974" s="10" t="str">
        <f t="shared" si="47"/>
        <v/>
      </c>
    </row>
    <row r="2975" spans="8:8" x14ac:dyDescent="0.25">
      <c r="H2975" s="10" t="str">
        <f t="shared" si="47"/>
        <v/>
      </c>
    </row>
    <row r="2976" spans="8:8" x14ac:dyDescent="0.25">
      <c r="H2976" s="10" t="str">
        <f t="shared" si="47"/>
        <v/>
      </c>
    </row>
    <row r="2977" spans="8:8" x14ac:dyDescent="0.25">
      <c r="H2977" s="10" t="str">
        <f t="shared" si="47"/>
        <v/>
      </c>
    </row>
    <row r="2978" spans="8:8" x14ac:dyDescent="0.25">
      <c r="H2978" s="10" t="str">
        <f t="shared" si="47"/>
        <v/>
      </c>
    </row>
    <row r="2979" spans="8:8" x14ac:dyDescent="0.25">
      <c r="H2979" s="10" t="str">
        <f t="shared" si="47"/>
        <v/>
      </c>
    </row>
    <row r="2980" spans="8:8" x14ac:dyDescent="0.25">
      <c r="H2980" s="10" t="str">
        <f t="shared" si="47"/>
        <v/>
      </c>
    </row>
    <row r="2981" spans="8:8" x14ac:dyDescent="0.25">
      <c r="H2981" s="10" t="str">
        <f t="shared" si="47"/>
        <v/>
      </c>
    </row>
    <row r="2982" spans="8:8" x14ac:dyDescent="0.25">
      <c r="H2982" s="10" t="str">
        <f t="shared" si="47"/>
        <v/>
      </c>
    </row>
    <row r="2983" spans="8:8" x14ac:dyDescent="0.25">
      <c r="H2983" s="10" t="str">
        <f t="shared" si="47"/>
        <v/>
      </c>
    </row>
    <row r="2984" spans="8:8" x14ac:dyDescent="0.25">
      <c r="H2984" s="10" t="str">
        <f t="shared" si="47"/>
        <v/>
      </c>
    </row>
    <row r="2985" spans="8:8" x14ac:dyDescent="0.25">
      <c r="H2985" s="10" t="str">
        <f t="shared" si="47"/>
        <v/>
      </c>
    </row>
    <row r="2986" spans="8:8" x14ac:dyDescent="0.25">
      <c r="H2986" s="10" t="str">
        <f t="shared" si="47"/>
        <v/>
      </c>
    </row>
    <row r="2987" spans="8:8" x14ac:dyDescent="0.25">
      <c r="H2987" s="10" t="str">
        <f t="shared" si="47"/>
        <v/>
      </c>
    </row>
    <row r="2988" spans="8:8" x14ac:dyDescent="0.25">
      <c r="H2988" s="10" t="str">
        <f t="shared" si="47"/>
        <v/>
      </c>
    </row>
    <row r="2989" spans="8:8" x14ac:dyDescent="0.25">
      <c r="H2989" s="10" t="str">
        <f t="shared" si="47"/>
        <v/>
      </c>
    </row>
    <row r="2990" spans="8:8" x14ac:dyDescent="0.25">
      <c r="H2990" s="10" t="str">
        <f t="shared" si="47"/>
        <v/>
      </c>
    </row>
    <row r="2991" spans="8:8" x14ac:dyDescent="0.25">
      <c r="H2991" s="10" t="str">
        <f t="shared" si="47"/>
        <v/>
      </c>
    </row>
    <row r="2992" spans="8:8" x14ac:dyDescent="0.25">
      <c r="H2992" s="10" t="str">
        <f t="shared" si="47"/>
        <v/>
      </c>
    </row>
    <row r="2993" spans="8:8" x14ac:dyDescent="0.25">
      <c r="H2993" s="10" t="str">
        <f t="shared" si="47"/>
        <v/>
      </c>
    </row>
    <row r="2994" spans="8:8" x14ac:dyDescent="0.25">
      <c r="H2994" s="10" t="str">
        <f t="shared" si="47"/>
        <v/>
      </c>
    </row>
    <row r="2995" spans="8:8" x14ac:dyDescent="0.25">
      <c r="H2995" s="10" t="str">
        <f t="shared" si="47"/>
        <v/>
      </c>
    </row>
    <row r="2996" spans="8:8" x14ac:dyDescent="0.25">
      <c r="H2996" s="10" t="str">
        <f t="shared" si="47"/>
        <v/>
      </c>
    </row>
    <row r="2997" spans="8:8" x14ac:dyDescent="0.25">
      <c r="H2997" s="10" t="str">
        <f t="shared" si="47"/>
        <v/>
      </c>
    </row>
    <row r="2998" spans="8:8" x14ac:dyDescent="0.25">
      <c r="H2998" s="10" t="str">
        <f t="shared" si="47"/>
        <v/>
      </c>
    </row>
    <row r="2999" spans="8:8" x14ac:dyDescent="0.25">
      <c r="H2999" s="10" t="str">
        <f t="shared" si="47"/>
        <v/>
      </c>
    </row>
    <row r="3000" spans="8:8" x14ac:dyDescent="0.25">
      <c r="H3000" s="10" t="str">
        <f t="shared" si="47"/>
        <v/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Página de Instruções</vt:lpstr>
      <vt:lpstr>Resultado Clinica</vt:lpstr>
      <vt:lpstr>Resultado Profissional</vt:lpstr>
      <vt:lpstr>Atendimentos à Receber</vt:lpstr>
      <vt:lpstr>Outras Contas à Receber</vt:lpstr>
      <vt:lpstr>Contas à Pagar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Jessé Bezerra</cp:lastModifiedBy>
  <dcterms:created xsi:type="dcterms:W3CDTF">2024-08-06T19:47:49Z</dcterms:created>
  <dcterms:modified xsi:type="dcterms:W3CDTF">2026-04-15T23:44:53Z</dcterms:modified>
  <cp:category/>
</cp:coreProperties>
</file>